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EstaPasta_de_trabalho"/>
  <mc:AlternateContent xmlns:mc="http://schemas.openxmlformats.org/markup-compatibility/2006">
    <mc:Choice Requires="x15">
      <x15ac:absPath xmlns:x15ac="http://schemas.microsoft.com/office/spreadsheetml/2010/11/ac" url="C:\Users\Gustavo\Desktop\"/>
    </mc:Choice>
  </mc:AlternateContent>
  <xr:revisionPtr revIDLastSave="0" documentId="13_ncr:1_{32A2EBC9-E615-4FA3-9B79-0F41000ECF1B}" xr6:coauthVersionLast="47" xr6:coauthVersionMax="47" xr10:uidLastSave="{00000000-0000-0000-0000-000000000000}"/>
  <bookViews>
    <workbookView xWindow="-120" yWindow="-120" windowWidth="29040" windowHeight="15720" tabRatio="500" activeTab="2" xr2:uid="{8800D05A-11AB-44C8-952A-A0A169E38BB0}"/>
  </bookViews>
  <sheets>
    <sheet name="Limite 50%" sheetId="1" r:id="rId1"/>
    <sheet name="Gráfico1" sheetId="6" state="hidden" r:id="rId2"/>
    <sheet name="Verso" sheetId="5" r:id="rId3"/>
  </sheets>
  <definedNames>
    <definedName name="_xlnm.Print_Area" localSheetId="0">'Limite 50%'!$A$1:$AE$51</definedName>
    <definedName name="Excel_BuiltIn_Print_Area" localSheetId="0">'Limite 50%'!$A$1:$AE$51</definedName>
    <definedName name="Z_47E49439_FF69_4564_972A_86D34BE53FCD__wvu_Cols" localSheetId="0">'Limite 50%'!$AF:$AZ</definedName>
    <definedName name="Z_47E49439_FF69_4564_972A_86D34BE53FCD__wvu_PrintArea" localSheetId="0">'Limite 50%'!$A$1:$AE$51</definedName>
    <definedName name="Z_47E49439_FF69_4564_972A_86D34BE53FCD__wvu_Rows" localSheetId="0">'Limite 50%'!$53:$152</definedName>
    <definedName name="Z_60A95524_6F7F_4AAF_BE0E_B2A97D2EB994__wvu_Cols" localSheetId="0">'Limite 50%'!$AF:$AZ</definedName>
    <definedName name="Z_60A95524_6F7F_4AAF_BE0E_B2A97D2EB994__wvu_PrintArea" localSheetId="0">'Limite 50%'!$A$1:$AE$51</definedName>
    <definedName name="Z_60A95524_6F7F_4AAF_BE0E_B2A97D2EB994__wvu_Rows" localSheetId="0">'Limite 50%'!$53:$152</definedName>
    <definedName name="Z_CE42B809_C98F_4C7B_B1D3_3D8D5ACD4461__wvu_Cols" localSheetId="0">'Limite 50%'!$AF:$AZ</definedName>
    <definedName name="Z_CE42B809_C98F_4C7B_B1D3_3D8D5ACD4461__wvu_PrintArea" localSheetId="0">'Limite 50%'!$A$1:$AE$51</definedName>
    <definedName name="Z_CE42B809_C98F_4C7B_B1D3_3D8D5ACD4461__wvu_Rows" localSheetId="0">'Limite 50%'!$53:$152</definedName>
    <definedName name="Z_DAAD9EB3_75C4_40B4_96D4_4212EA5B0BAF__wvu_Cols" localSheetId="0">'Limite 50%'!$AF:$AZ</definedName>
    <definedName name="Z_DAAD9EB3_75C4_40B4_96D4_4212EA5B0BAF__wvu_PrintArea" localSheetId="0">'Limite 50%'!$A$1:$AE$51</definedName>
    <definedName name="Z_DAAD9EB3_75C4_40B4_96D4_4212EA5B0BAF__wvu_Rows" localSheetId="0">'Limite 50%'!$53:$152</definedName>
    <definedName name="Z_FF834EEA_98EE_4D52_930D_AE89D7F4F75B_.wvu.Cols" localSheetId="0" hidden="1">'Limite 50%'!$AF:$AZ</definedName>
    <definedName name="Z_FF834EEA_98EE_4D52_930D_AE89D7F4F75B_.wvu.PrintArea" localSheetId="0" hidden="1">'Limite 50%'!$A$1:$AE$51</definedName>
    <definedName name="Z_FF834EEA_98EE_4D52_930D_AE89D7F4F75B_.wvu.Rows" localSheetId="0" hidden="1">'Limite 50%'!$53:$152</definedName>
  </definedNames>
  <calcPr calcId="191029" calcMode="manual" fullPrecision="0"/>
  <customWorkbookViews>
    <customWorkbookView name="policial - Modo de exibição pessoal" guid="{FF834EEA-98EE-4D52-930D-AE89D7F4F75B}" mergeInterval="0" personalView="1" maximized="1" xWindow="-8" yWindow="-8" windowWidth="1936" windowHeight="1056" tabRatio="500" activeSheetId="1"/>
    <customWorkbookView name=" " guid="{21947858-9CF7-CF4C-8635-4940C68DA20F}" mergeInterval="0" personalView="1" maximized="1" windowWidth="1200" windowHeight="1000" tabRatio="1000" activeSheetId="1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0" i="1" l="1"/>
  <c r="AC10" i="1"/>
  <c r="AL109" i="1" s="1"/>
  <c r="AM109" i="1" s="1"/>
  <c r="Q16" i="1"/>
  <c r="S16" i="1"/>
  <c r="U16" i="1"/>
  <c r="AA16" i="1"/>
  <c r="AD16" i="1"/>
  <c r="Q17" i="1"/>
  <c r="S17" i="1"/>
  <c r="U17" i="1"/>
  <c r="X17" i="1"/>
  <c r="AA17" i="1"/>
  <c r="AD17" i="1"/>
  <c r="Q18" i="1"/>
  <c r="S18" i="1"/>
  <c r="U18" i="1"/>
  <c r="X18" i="1"/>
  <c r="AA18" i="1"/>
  <c r="AD18" i="1"/>
  <c r="Q19" i="1"/>
  <c r="S19" i="1"/>
  <c r="U19" i="1"/>
  <c r="X19" i="1"/>
  <c r="AA19" i="1"/>
  <c r="AD19" i="1"/>
  <c r="Q20" i="1"/>
  <c r="S20" i="1"/>
  <c r="U20" i="1"/>
  <c r="X20" i="1"/>
  <c r="AA20" i="1"/>
  <c r="AD20" i="1"/>
  <c r="Q21" i="1"/>
  <c r="S21" i="1"/>
  <c r="U21" i="1"/>
  <c r="X21" i="1"/>
  <c r="AA21" i="1"/>
  <c r="AD21" i="1"/>
  <c r="Q22" i="1"/>
  <c r="S22" i="1"/>
  <c r="U22" i="1"/>
  <c r="X22" i="1"/>
  <c r="AA22" i="1"/>
  <c r="AD22" i="1"/>
  <c r="Q23" i="1"/>
  <c r="S23" i="1"/>
  <c r="U23" i="1"/>
  <c r="X23" i="1"/>
  <c r="AA23" i="1"/>
  <c r="AD23" i="1"/>
  <c r="Q24" i="1"/>
  <c r="S24" i="1"/>
  <c r="U24" i="1"/>
  <c r="X24" i="1"/>
  <c r="AA24" i="1"/>
  <c r="AD24" i="1"/>
  <c r="Q25" i="1"/>
  <c r="S25" i="1"/>
  <c r="U25" i="1"/>
  <c r="X25" i="1"/>
  <c r="AA25" i="1"/>
  <c r="AD25" i="1"/>
  <c r="Q26" i="1"/>
  <c r="S26" i="1"/>
  <c r="U26" i="1"/>
  <c r="X26" i="1"/>
  <c r="AA26" i="1"/>
  <c r="AD26" i="1"/>
  <c r="Q27" i="1"/>
  <c r="S27" i="1"/>
  <c r="U27" i="1"/>
  <c r="X27" i="1"/>
  <c r="AA27" i="1"/>
  <c r="AD27" i="1"/>
  <c r="F46" i="1"/>
  <c r="I46" i="1"/>
  <c r="K48" i="1"/>
  <c r="AL64" i="1"/>
  <c r="AO65" i="1"/>
  <c r="AE23" i="1" l="1"/>
  <c r="AE19" i="1"/>
  <c r="AE20" i="1"/>
  <c r="AE21" i="1"/>
  <c r="AE18" i="1"/>
  <c r="AE17" i="1"/>
  <c r="AE26" i="1"/>
  <c r="AE24" i="1"/>
  <c r="AL111" i="1"/>
  <c r="AM111" i="1" s="1"/>
  <c r="AE27" i="1"/>
  <c r="AE25" i="1"/>
  <c r="AP109" i="1"/>
  <c r="AQ109" i="1"/>
  <c r="AR109" i="1" s="1"/>
  <c r="Z43" i="1" s="1"/>
  <c r="AU109" i="1"/>
  <c r="AV109" i="1" s="1"/>
  <c r="AC43" i="1" s="1"/>
  <c r="X43" i="1"/>
  <c r="AS109" i="1"/>
  <c r="AT109" i="1" s="1"/>
  <c r="AB43" i="1" s="1"/>
  <c r="AW109" i="1"/>
  <c r="AX109" i="1" s="1"/>
  <c r="AD43" i="1" s="1"/>
  <c r="AY109" i="1"/>
  <c r="AZ109" i="1" s="1"/>
  <c r="AE43" i="1" s="1"/>
  <c r="AP111" i="1"/>
  <c r="AQ111" i="1"/>
  <c r="AR111" i="1" s="1"/>
  <c r="Z49" i="1" s="1"/>
  <c r="AS111" i="1"/>
  <c r="AT111" i="1" s="1"/>
  <c r="AB49" i="1" s="1"/>
  <c r="AU111" i="1"/>
  <c r="AV111" i="1" s="1"/>
  <c r="AW111" i="1"/>
  <c r="AX111" i="1" s="1"/>
  <c r="AD49" i="1" s="1"/>
  <c r="AY111" i="1"/>
  <c r="AZ111" i="1" s="1"/>
  <c r="AE49" i="1" s="1"/>
  <c r="X49" i="1"/>
  <c r="AL110" i="1"/>
  <c r="AM110" i="1" s="1"/>
  <c r="AL107" i="1"/>
  <c r="AM107" i="1" s="1"/>
  <c r="AE22" i="1"/>
  <c r="AL108" i="1"/>
  <c r="AM108" i="1" s="1"/>
  <c r="AC49" i="1" l="1"/>
  <c r="X16" i="1"/>
  <c r="AE16" i="1" s="1"/>
  <c r="AH29" i="1" s="1"/>
  <c r="AW107" i="1"/>
  <c r="AX107" i="1" s="1"/>
  <c r="AD37" i="1" s="1"/>
  <c r="AU107" i="1"/>
  <c r="AV107" i="1" s="1"/>
  <c r="AC37" i="1" s="1"/>
  <c r="AP107" i="1"/>
  <c r="AQ107" i="1"/>
  <c r="AR107" i="1" s="1"/>
  <c r="Z37" i="1" s="1"/>
  <c r="AY107" i="1"/>
  <c r="AZ107" i="1" s="1"/>
  <c r="AE37" i="1" s="1"/>
  <c r="AS107" i="1"/>
  <c r="AT107" i="1" s="1"/>
  <c r="X37" i="1"/>
  <c r="AS108" i="1"/>
  <c r="AT108" i="1" s="1"/>
  <c r="AB40" i="1" s="1"/>
  <c r="AU108" i="1"/>
  <c r="AV108" i="1" s="1"/>
  <c r="AC40" i="1" s="1"/>
  <c r="AY108" i="1"/>
  <c r="AZ108" i="1" s="1"/>
  <c r="AE40" i="1" s="1"/>
  <c r="X40" i="1"/>
  <c r="AP108" i="1"/>
  <c r="AW108" i="1"/>
  <c r="AX108" i="1" s="1"/>
  <c r="AD40" i="1" s="1"/>
  <c r="AQ108" i="1"/>
  <c r="AR108" i="1" s="1"/>
  <c r="Z40" i="1" s="1"/>
  <c r="X46" i="1"/>
  <c r="AP110" i="1"/>
  <c r="AS110" i="1"/>
  <c r="AT110" i="1" s="1"/>
  <c r="AB46" i="1" s="1"/>
  <c r="AY110" i="1"/>
  <c r="AZ110" i="1" s="1"/>
  <c r="AE46" i="1" s="1"/>
  <c r="AQ110" i="1"/>
  <c r="AR110" i="1" s="1"/>
  <c r="Z46" i="1" s="1"/>
  <c r="AU110" i="1"/>
  <c r="AV110" i="1" s="1"/>
  <c r="AC46" i="1" s="1"/>
  <c r="AW110" i="1"/>
  <c r="AX110" i="1" s="1"/>
  <c r="AD46" i="1" s="1"/>
  <c r="V21" i="1" l="1"/>
  <c r="V26" i="1"/>
  <c r="V17" i="1"/>
  <c r="V24" i="1"/>
  <c r="V19" i="1"/>
  <c r="V27" i="1"/>
  <c r="V25" i="1"/>
  <c r="V18" i="1"/>
  <c r="AB37" i="1"/>
  <c r="V16" i="1"/>
  <c r="V22" i="1"/>
  <c r="V23" i="1"/>
  <c r="V20" i="1"/>
  <c r="AE28" i="1"/>
  <c r="AE29" i="1" s="1"/>
  <c r="AJ57" i="1" l="1"/>
  <c r="M41" i="1"/>
  <c r="AL57" i="1"/>
  <c r="AE31" i="1"/>
  <c r="AL75" i="1" l="1"/>
  <c r="AL69" i="1" s="1"/>
  <c r="AM69" i="1" l="1"/>
  <c r="AN69" i="1"/>
  <c r="AL77" i="1"/>
  <c r="AL71" i="1"/>
  <c r="AL70" i="1"/>
  <c r="AM73" i="1"/>
  <c r="AL67" i="1"/>
  <c r="AL66" i="1"/>
  <c r="AM77" i="1"/>
  <c r="AL68" i="1"/>
  <c r="AN67" i="1" l="1"/>
  <c r="AM67" i="1"/>
  <c r="AM71" i="1"/>
  <c r="AN71" i="1"/>
  <c r="AM78" i="1" s="1"/>
  <c r="AN68" i="1"/>
  <c r="AM68" i="1"/>
  <c r="AM88" i="1" s="1"/>
  <c r="AM66" i="1"/>
  <c r="AM95" i="1" s="1"/>
  <c r="AN66" i="1"/>
  <c r="AN70" i="1"/>
  <c r="AM70" i="1"/>
  <c r="AM90" i="1"/>
  <c r="AM87" i="1"/>
  <c r="AM84" i="1" l="1"/>
  <c r="AM85" i="1"/>
  <c r="AM89" i="1"/>
  <c r="AM83" i="1"/>
  <c r="AK79" i="1"/>
  <c r="AM79" i="1"/>
  <c r="AK80" i="1"/>
  <c r="AM80" i="1"/>
  <c r="AM92" i="1"/>
  <c r="AM93" i="1"/>
  <c r="AO66" i="1"/>
  <c r="AO77" i="1" l="1"/>
  <c r="I42" i="1" s="1"/>
</calcChain>
</file>

<file path=xl/sharedStrings.xml><?xml version="1.0" encoding="utf-8"?>
<sst xmlns="http://schemas.openxmlformats.org/spreadsheetml/2006/main" count="219" uniqueCount="176">
  <si>
    <t xml:space="preserve">SECRETARIA DE ESTADO DOS NEGÓCIOS DA SEGURANÇA PÚBLICA </t>
  </si>
  <si>
    <t>POLÍCIA CIVIL DO ESTADO  DE SÃO PAULO</t>
  </si>
  <si>
    <t>DELEGACIA SECCIONAL DE POLÍCIA DE AVARÉ - DEINTER 7 - SOROCABA</t>
  </si>
  <si>
    <t>RECIBO DE DIÁRIAS</t>
  </si>
  <si>
    <t>NOME</t>
  </si>
  <si>
    <t>R.G.</t>
  </si>
  <si>
    <t>SEDE DE EXERCÍCIO</t>
  </si>
  <si>
    <t>MÊS/ANO</t>
  </si>
  <si>
    <t>PADRÃO</t>
  </si>
  <si>
    <t>CARGO/FUNÇÃO</t>
  </si>
  <si>
    <t>RETRIBUIÇÃO MENSAL</t>
  </si>
  <si>
    <t>LIMITE</t>
  </si>
  <si>
    <t>ULTRAPASSA ?</t>
  </si>
  <si>
    <t>VALOR UFESP</t>
  </si>
  <si>
    <t>ÍNDICE APLICADO</t>
  </si>
  <si>
    <t>DIÁRIA</t>
  </si>
  <si>
    <t>SIM</t>
  </si>
  <si>
    <t>NÃO</t>
  </si>
  <si>
    <t>UFESPs</t>
  </si>
  <si>
    <t>x</t>
  </si>
  <si>
    <t>Local Deslocamento</t>
  </si>
  <si>
    <t>CÓDIGO</t>
  </si>
  <si>
    <t>MEIO  DE    TRANSPORTE</t>
  </si>
  <si>
    <t>SAÍDA</t>
  </si>
  <si>
    <t>CHEGADA</t>
  </si>
  <si>
    <t>QUANTIDADE / VALORES DAS DIÁRIAS</t>
  </si>
  <si>
    <t>A                       RECEBER</t>
  </si>
  <si>
    <t>LOCAL</t>
  </si>
  <si>
    <t>Qtd</t>
  </si>
  <si>
    <t>PERNOITE</t>
  </si>
  <si>
    <t>REGRESSO</t>
  </si>
  <si>
    <t>DESLOCAMENTO</t>
  </si>
  <si>
    <t>ALOJAMENTO</t>
  </si>
  <si>
    <t>DIA</t>
  </si>
  <si>
    <t>HORA</t>
  </si>
  <si>
    <t>13h às 18h59</t>
  </si>
  <si>
    <t>A partir 19h</t>
  </si>
  <si>
    <t>= 6h e &lt; 12h</t>
  </si>
  <si>
    <t>= 12h ou &gt; 12h</t>
  </si>
  <si>
    <t>Informações para depósito em conta</t>
  </si>
  <si>
    <t>CPF :</t>
  </si>
  <si>
    <t>Banco / Agência / Número Conta Corrente</t>
  </si>
  <si>
    <t>Diária Glosada.................................</t>
  </si>
  <si>
    <t>TOTAL DIÁRIAS</t>
  </si>
  <si>
    <t>Declaro  que  a  importância  recebida  a  título  de diárias durante  o  mês    declarado  não ultrapassou  o  limite previsto  no "caput" do  artigo  8º  do Decreto nº 48.292/2003 e que não recebi esta Diária por outra Unidade</t>
  </si>
  <si>
    <t>TOTAL DE DIÁRIAS A RECEBER</t>
  </si>
  <si>
    <t>QUANTIA RECEBIDA ANTECIPADAMENTE</t>
  </si>
  <si>
    <t>TOTAL   A  PAGAR /  REPOR</t>
  </si>
  <si>
    <t>MOTIVO DO  DESLOCAMENTO</t>
  </si>
  <si>
    <t>TABELA DE VALORES DA DIÁRIA</t>
  </si>
  <si>
    <t xml:space="preserve"> </t>
  </si>
  <si>
    <t>LOCAL DESLOCAMENTO</t>
  </si>
  <si>
    <t>13h / 18h59</t>
  </si>
  <si>
    <t>Partir 19h</t>
  </si>
  <si>
    <t>=6he&lt;12h</t>
  </si>
  <si>
    <t>=12h e &gt;12h</t>
  </si>
  <si>
    <t>Distrito Federal e   Manaus</t>
  </si>
  <si>
    <t>SUPERIOR IMEDIATO</t>
  </si>
  <si>
    <t>ORDENADOR</t>
  </si>
  <si>
    <t>RECIBO</t>
  </si>
  <si>
    <r>
      <rPr>
        <b/>
        <u/>
        <sz val="10"/>
        <rFont val="Times New Roman"/>
        <family val="1"/>
      </rPr>
      <t>São Paulo</t>
    </r>
    <r>
      <rPr>
        <sz val="7"/>
        <rFont val="Times New Roman"/>
        <family val="1"/>
      </rPr>
      <t xml:space="preserve">,  </t>
    </r>
    <r>
      <rPr>
        <sz val="8"/>
        <rFont val="Times New Roman"/>
        <family val="1"/>
      </rPr>
      <t>Rio, Recife, Belo Horizonte, Porto Alegre, Belém, Fortaleza e Salvador</t>
    </r>
  </si>
  <si>
    <t xml:space="preserve">Ordenei o deslocamento e </t>
  </si>
  <si>
    <t>Autorizo a despesa.</t>
  </si>
  <si>
    <t xml:space="preserve">  Recebi a importância de</t>
  </si>
  <si>
    <t>atesto a freqüência do</t>
  </si>
  <si>
    <t>Funcionário / Servidor.</t>
  </si>
  <si>
    <t>Demais capitais</t>
  </si>
  <si>
    <t>DATA</t>
  </si>
  <si>
    <t xml:space="preserve">      DATA</t>
  </si>
  <si>
    <t>correspondente a(s) diária(s) vencida(s) durante o mês  de</t>
  </si>
  <si>
    <t xml:space="preserve"> constante desta relação.</t>
  </si>
  <si>
    <t>Igual ou Superior a 200.000 habit. e mais de 70 Km</t>
  </si>
  <si>
    <t xml:space="preserve">  DATA:</t>
  </si>
  <si>
    <t>Demais Delocamento</t>
  </si>
  <si>
    <t>Assinatura</t>
  </si>
  <si>
    <t>um</t>
  </si>
  <si>
    <t>dois</t>
  </si>
  <si>
    <t>Uni Cent</t>
  </si>
  <si>
    <t>três</t>
  </si>
  <si>
    <t>Dez Cent</t>
  </si>
  <si>
    <t>quatro</t>
  </si>
  <si>
    <t>uni Moed</t>
  </si>
  <si>
    <t>cinco</t>
  </si>
  <si>
    <t>dez Moed</t>
  </si>
  <si>
    <t>seis</t>
  </si>
  <si>
    <t>cent Moed</t>
  </si>
  <si>
    <t>sete</t>
  </si>
  <si>
    <t>Uni Mil</t>
  </si>
  <si>
    <t>oito</t>
  </si>
  <si>
    <t>nove</t>
  </si>
  <si>
    <t>dez</t>
  </si>
  <si>
    <t>onze</t>
  </si>
  <si>
    <t>doze</t>
  </si>
  <si>
    <t>MIL</t>
  </si>
  <si>
    <t>real/is</t>
  </si>
  <si>
    <t>centavo/s</t>
  </si>
  <si>
    <t>FINAL</t>
  </si>
  <si>
    <t>treze</t>
  </si>
  <si>
    <t>quatorze</t>
  </si>
  <si>
    <t>quinze</t>
  </si>
  <si>
    <t>centavos</t>
  </si>
  <si>
    <t>dezesseis</t>
  </si>
  <si>
    <t>moeda</t>
  </si>
  <si>
    <t>dezessete</t>
  </si>
  <si>
    <t>dezoito</t>
  </si>
  <si>
    <t>dezenove</t>
  </si>
  <si>
    <t>TTT</t>
  </si>
  <si>
    <t>7&amp;" e "&amp;F6&amp;" e "&amp;F5&amp;F14</t>
  </si>
  <si>
    <t>vinte</t>
  </si>
  <si>
    <t>TTF</t>
  </si>
  <si>
    <t>G7&amp;" e "&amp;G6&amp;F14</t>
  </si>
  <si>
    <t>trinta</t>
  </si>
  <si>
    <t>TFF</t>
  </si>
  <si>
    <t>F7&amp;F14</t>
  </si>
  <si>
    <t>quarenta</t>
  </si>
  <si>
    <t>FFF</t>
  </si>
  <si>
    <t>cinqüenta</t>
  </si>
  <si>
    <t>FFT</t>
  </si>
  <si>
    <t>G6&amp;F14</t>
  </si>
  <si>
    <t>sessenta</t>
  </si>
  <si>
    <t>FTT</t>
  </si>
  <si>
    <t>G6&amp; " e "&amp;G5&amp;F14</t>
  </si>
  <si>
    <t>setenta</t>
  </si>
  <si>
    <t>TFT</t>
  </si>
  <si>
    <t>G7&amp; " e " &amp;G5&amp;F14</t>
  </si>
  <si>
    <t>oitenta</t>
  </si>
  <si>
    <t>FTF</t>
  </si>
  <si>
    <t>noventa</t>
  </si>
  <si>
    <t>cento</t>
  </si>
  <si>
    <t>TT</t>
  </si>
  <si>
    <t>G4&amp;" e "&amp;G3&amp;G14</t>
  </si>
  <si>
    <t>duzentos</t>
  </si>
  <si>
    <t>TF</t>
  </si>
  <si>
    <t>G4&amp;G14</t>
  </si>
  <si>
    <t>trezentos</t>
  </si>
  <si>
    <t>FF</t>
  </si>
  <si>
    <t>"*"</t>
  </si>
  <si>
    <t>quatrocentos</t>
  </si>
  <si>
    <t>FT</t>
  </si>
  <si>
    <t>G3&amp;G14</t>
  </si>
  <si>
    <t>quinhentos</t>
  </si>
  <si>
    <t>seiscentos</t>
  </si>
  <si>
    <t>setecentos</t>
  </si>
  <si>
    <t>oitocentos</t>
  </si>
  <si>
    <t>novecentos</t>
  </si>
  <si>
    <t xml:space="preserve"> um mil</t>
  </si>
  <si>
    <t>dois mil</t>
  </si>
  <si>
    <t>três mil</t>
  </si>
  <si>
    <t>LOCALIDADE</t>
  </si>
  <si>
    <t>ACRÉSCIMO</t>
  </si>
  <si>
    <t>s/redução</t>
  </si>
  <si>
    <t>ARREDON.</t>
  </si>
  <si>
    <t>%</t>
  </si>
  <si>
    <t>3 CASAS</t>
  </si>
  <si>
    <t>VALOR</t>
  </si>
  <si>
    <t>13h  às19h</t>
  </si>
  <si>
    <t>Após 19h</t>
  </si>
  <si>
    <t>6h a s 12h</t>
  </si>
  <si>
    <t>Mais de 12h</t>
  </si>
  <si>
    <t>Distrito Federal / Manaus</t>
  </si>
  <si>
    <t>São Paulo,  Rio, Recife, Belo Horizonte, Porto Alegre, Belém, Fortaleza e Salvador</t>
  </si>
  <si>
    <t>Superior a 200.000 habit. e mais de 70 Km</t>
  </si>
  <si>
    <t>PROTOCOLO "S" DO REQUERIMENTO:</t>
  </si>
  <si>
    <t>Demais Delocamentos</t>
  </si>
  <si>
    <t>45.027.980-7</t>
  </si>
  <si>
    <t>II</t>
  </si>
  <si>
    <t>Assumir o Plantão na Central de Polícia Judiciária de {{{cidade_plantao}}}-SP, conforme determinação contida na Escala referente a {{{data_ida}}}</t>
  </si>
  <si>
    <t>delegacia abrev</t>
  </si>
  <si>
    <t>NOME COMPLETO</t>
  </si>
  <si>
    <t>CARGO E CLASSE</t>
  </si>
  <si>
    <t>MEIO</t>
  </si>
  <si>
    <t>volta</t>
  </si>
  <si>
    <t>123.456.789-01</t>
  </si>
  <si>
    <t>001 / {{{agencia}}} / {{{conta}}}</t>
  </si>
  <si>
    <t>{{{cidade_plantao}}}</t>
  </si>
  <si>
    <t>{{{protocolo_requerimento}}}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</si>
</sst>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R$&quot;#,##0.00_);[Red]&quot;(R$&quot;#,##0.00\)"/>
    <numFmt numFmtId="165" formatCode="mmmm/yyyy"/>
    <numFmt numFmtId="166" formatCode="?/?"/>
    <numFmt numFmtId="167" formatCode="#,##0.000"/>
  </numFmts>
  <fonts count="47" x14ac:knownFonts="1">
    <font>
      <sz val="10"/>
      <name val="Arial"/>
    </font>
    <font>
      <sz val="10"/>
      <name val="MS Sans Serif"/>
      <family val="2"/>
    </font>
    <font>
      <b/>
      <sz val="11"/>
      <color indexed="56"/>
      <name val="Arial"/>
      <family val="2"/>
    </font>
    <font>
      <b/>
      <sz val="10"/>
      <color indexed="56"/>
      <name val="Arial"/>
      <family val="2"/>
    </font>
    <font>
      <sz val="7"/>
      <name val="Times New Roman"/>
      <family val="1"/>
    </font>
    <font>
      <sz val="6"/>
      <name val="Times New Roman"/>
      <family val="1"/>
    </font>
    <font>
      <sz val="7"/>
      <color indexed="56"/>
      <name val="Times New Roman"/>
      <family val="1"/>
    </font>
    <font>
      <b/>
      <sz val="10"/>
      <name val="MS Sans Serif"/>
      <family val="2"/>
    </font>
    <font>
      <b/>
      <sz val="12"/>
      <name val="MS Sans Serif"/>
      <family val="2"/>
    </font>
    <font>
      <sz val="8"/>
      <name val="Times New Roman"/>
      <family val="1"/>
    </font>
    <font>
      <sz val="9"/>
      <name val="Times New Roman"/>
      <family val="1"/>
    </font>
    <font>
      <sz val="11"/>
      <name val="Times New Roman"/>
      <family val="1"/>
    </font>
    <font>
      <sz val="11"/>
      <name val="MS Sans Serif"/>
      <family val="2"/>
    </font>
    <font>
      <b/>
      <sz val="11"/>
      <name val="Times New Roman"/>
      <family val="1"/>
    </font>
    <font>
      <sz val="8"/>
      <name val="MS Sans Serif"/>
      <family val="2"/>
    </font>
    <font>
      <sz val="12"/>
      <color indexed="56"/>
      <name val="Times New Roman"/>
      <family val="1"/>
    </font>
    <font>
      <sz val="8"/>
      <color indexed="56"/>
      <name val="Times New Roman"/>
      <family val="1"/>
    </font>
    <font>
      <sz val="9"/>
      <color indexed="56"/>
      <name val="Times New Roman"/>
      <family val="1"/>
    </font>
    <font>
      <b/>
      <sz val="8"/>
      <color indexed="56"/>
      <name val="Times New Roman"/>
      <family val="1"/>
    </font>
    <font>
      <b/>
      <sz val="6"/>
      <name val="Times New Roman"/>
      <family val="1"/>
    </font>
    <font>
      <sz val="6"/>
      <color indexed="56"/>
      <name val="Terminal"/>
      <family val="3"/>
    </font>
    <font>
      <sz val="6"/>
      <color indexed="56"/>
      <name val="Times New Roman"/>
      <family val="1"/>
    </font>
    <font>
      <sz val="8.5"/>
      <color indexed="56"/>
      <name val="Times New Roman"/>
      <family val="1"/>
    </font>
    <font>
      <sz val="8.5"/>
      <name val="MS Sans Serif"/>
      <family val="2"/>
    </font>
    <font>
      <sz val="7"/>
      <name val="MS Sans Serif"/>
      <family val="2"/>
    </font>
    <font>
      <sz val="10"/>
      <name val="Times New Roman"/>
      <family val="1"/>
    </font>
    <font>
      <b/>
      <u/>
      <sz val="8"/>
      <color indexed="10"/>
      <name val="Times New Roman"/>
      <family val="1"/>
    </font>
    <font>
      <b/>
      <sz val="18"/>
      <name val="Times New Roman"/>
      <family val="1"/>
    </font>
    <font>
      <b/>
      <sz val="7"/>
      <color indexed="56"/>
      <name val="Times New Roman"/>
      <family val="1"/>
    </font>
    <font>
      <b/>
      <u/>
      <sz val="10"/>
      <name val="Times New Roman"/>
      <family val="1"/>
    </font>
    <font>
      <sz val="7"/>
      <color indexed="56"/>
      <name val="MS Sans Serif"/>
      <family val="2"/>
    </font>
    <font>
      <b/>
      <sz val="8"/>
      <name val="MS Sans Serif"/>
      <family val="2"/>
    </font>
    <font>
      <b/>
      <sz val="9"/>
      <name val="Times New Roman"/>
      <family val="1"/>
    </font>
    <font>
      <b/>
      <sz val="8"/>
      <name val="Times New Roman"/>
      <family val="1"/>
    </font>
    <font>
      <sz val="8.5"/>
      <name val="Times New Roman"/>
      <family val="1"/>
    </font>
    <font>
      <b/>
      <sz val="11"/>
      <color indexed="10"/>
      <name val="Times New Roman"/>
      <family val="1"/>
    </font>
    <font>
      <b/>
      <sz val="12"/>
      <color indexed="10"/>
      <name val="Times New Roman"/>
      <family val="1"/>
    </font>
    <font>
      <b/>
      <sz val="10"/>
      <name val="Times New Roman"/>
      <family val="1"/>
    </font>
    <font>
      <sz val="12"/>
      <name val="MS Sans Serif"/>
      <family val="2"/>
    </font>
    <font>
      <b/>
      <sz val="14"/>
      <color indexed="10"/>
      <name val="Times New Roman"/>
      <family val="1"/>
    </font>
    <font>
      <b/>
      <sz val="14"/>
      <color indexed="10"/>
      <name val="MS Sans Serif"/>
      <family val="2"/>
    </font>
    <font>
      <sz val="12"/>
      <name val="Times New Roman"/>
      <family val="1"/>
    </font>
    <font>
      <b/>
      <sz val="12"/>
      <name val="Arial"/>
      <family val="2"/>
    </font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11"/>
      <color theme="1"/>
      <name val="Times New Roman"/>
    </font>
  </fonts>
  <fills count="9">
    <fill>
      <patternFill patternType="none"/>
    </fill>
    <fill>
      <patternFill patternType="gray125"/>
    </fill>
    <fill>
      <patternFill patternType="solid">
        <fgColor indexed="27"/>
        <bgColor indexed="41"/>
      </patternFill>
    </fill>
    <fill>
      <patternFill patternType="solid">
        <fgColor indexed="9"/>
        <bgColor indexed="26"/>
      </patternFill>
    </fill>
    <fill>
      <patternFill patternType="solid">
        <fgColor indexed="13"/>
        <bgColor indexed="34"/>
      </patternFill>
    </fill>
    <fill>
      <patternFill patternType="solid">
        <fgColor indexed="11"/>
        <bgColor indexed="49"/>
      </patternFill>
    </fill>
    <fill>
      <patternFill patternType="solid">
        <fgColor indexed="40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rgb="FFCCFFFF"/>
        <bgColor rgb="FFCCFFFF"/>
      </patternFill>
    </fill>
  </fills>
  <borders count="53">
    <border>
      <left/>
      <right/>
      <top/>
      <bottom/>
      <diagonal/>
    </border>
    <border>
      <left style="double">
        <color indexed="8"/>
      </left>
      <right/>
      <top style="double">
        <color indexed="8"/>
      </top>
      <bottom/>
      <diagonal/>
    </border>
    <border>
      <left/>
      <right/>
      <top style="double">
        <color indexed="8"/>
      </top>
      <bottom/>
      <diagonal/>
    </border>
    <border>
      <left/>
      <right style="double">
        <color indexed="8"/>
      </right>
      <top style="double">
        <color indexed="8"/>
      </top>
      <bottom/>
      <diagonal/>
    </border>
    <border>
      <left style="double">
        <color indexed="8"/>
      </left>
      <right/>
      <top/>
      <bottom/>
      <diagonal/>
    </border>
    <border>
      <left/>
      <right style="double">
        <color indexed="8"/>
      </right>
      <top/>
      <bottom/>
      <diagonal/>
    </border>
    <border>
      <left style="double">
        <color indexed="8"/>
      </left>
      <right/>
      <top/>
      <bottom style="double">
        <color indexed="8"/>
      </bottom>
      <diagonal/>
    </border>
    <border>
      <left/>
      <right/>
      <top/>
      <bottom style="double">
        <color indexed="8"/>
      </bottom>
      <diagonal/>
    </border>
    <border>
      <left/>
      <right style="double">
        <color indexed="8"/>
      </right>
      <top/>
      <bottom style="double">
        <color indexed="8"/>
      </bottom>
      <diagonal/>
    </border>
    <border>
      <left style="thin">
        <color indexed="8"/>
      </left>
      <right/>
      <top style="double">
        <color indexed="8"/>
      </top>
      <bottom/>
      <diagonal/>
    </border>
    <border>
      <left/>
      <right style="thin">
        <color indexed="8"/>
      </right>
      <top style="double">
        <color indexed="8"/>
      </top>
      <bottom/>
      <diagonal/>
    </border>
    <border>
      <left style="double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double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double">
        <color indexed="8"/>
      </bottom>
      <diagonal/>
    </border>
    <border>
      <left style="thin">
        <color indexed="8"/>
      </left>
      <right style="thin">
        <color indexed="8"/>
      </right>
      <top style="double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double">
        <color indexed="8"/>
      </right>
      <top style="thin">
        <color indexed="8"/>
      </top>
      <bottom/>
      <diagonal/>
    </border>
    <border>
      <left style="thin">
        <color indexed="8"/>
      </left>
      <right style="double">
        <color indexed="8"/>
      </right>
      <top/>
      <bottom/>
      <diagonal/>
    </border>
    <border>
      <left style="thin">
        <color indexed="8"/>
      </left>
      <right style="double">
        <color indexed="8"/>
      </right>
      <top/>
      <bottom style="thin">
        <color indexed="8"/>
      </bottom>
      <diagonal/>
    </border>
    <border>
      <left style="thin">
        <color indexed="8"/>
      </left>
      <right style="double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double">
        <color indexed="8"/>
      </right>
      <top style="thin">
        <color indexed="8"/>
      </top>
      <bottom style="double">
        <color indexed="8"/>
      </bottom>
      <diagonal/>
    </border>
    <border>
      <left/>
      <right/>
      <top style="double">
        <color indexed="8"/>
      </top>
      <bottom style="double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  <diagonal/>
    </border>
    <border>
      <left style="double">
        <color indexed="8"/>
      </left>
      <right style="thin">
        <color indexed="8"/>
      </right>
      <top/>
      <bottom style="double">
        <color indexed="8"/>
      </bottom>
      <diagonal/>
    </border>
    <border>
      <left style="thin">
        <color indexed="8"/>
      </left>
      <right style="thin">
        <color indexed="8"/>
      </right>
      <top/>
      <bottom style="double">
        <color indexed="8"/>
      </bottom>
      <diagonal/>
    </border>
    <border>
      <left style="thin">
        <color indexed="8"/>
      </left>
      <right style="double">
        <color indexed="8"/>
      </right>
      <top/>
      <bottom style="double">
        <color indexed="8"/>
      </bottom>
      <diagonal/>
    </border>
    <border>
      <left style="double">
        <color indexed="8"/>
      </left>
      <right style="thin">
        <color indexed="8"/>
      </right>
      <top style="thin">
        <color indexed="8"/>
      </top>
      <bottom style="double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double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double">
        <color indexed="8"/>
      </left>
      <right/>
      <top style="thin">
        <color indexed="8"/>
      </top>
      <bottom style="double">
        <color indexed="8"/>
      </bottom>
      <diagonal/>
    </border>
    <border>
      <left style="double">
        <color indexed="8"/>
      </left>
      <right style="double">
        <color indexed="8"/>
      </right>
      <top style="double">
        <color indexed="8"/>
      </top>
      <bottom style="thin">
        <color indexed="8"/>
      </bottom>
      <diagonal/>
    </border>
    <border>
      <left style="double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double">
        <color indexed="8"/>
      </right>
      <top style="double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double">
        <color indexed="8"/>
      </bottom>
      <diagonal/>
    </border>
    <border>
      <left/>
      <right style="thin">
        <color indexed="8"/>
      </right>
      <top/>
      <bottom style="double">
        <color indexed="8"/>
      </bottom>
      <diagonal/>
    </border>
    <border>
      <left style="double">
        <color indexed="8"/>
      </left>
      <right style="thin">
        <color indexed="8"/>
      </right>
      <top style="double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  <diagonal/>
    </border>
    <border>
      <left style="double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 style="thin">
        <color rgb="FF000000"/>
      </right>
      <top/>
      <bottom style="double">
        <color rgb="FF000000"/>
      </bottom>
      <diagonal/>
    </border>
  </borders>
  <cellStyleXfs count="4">
    <xf numFmtId="0" fontId="0" fillId="0" borderId="0"/>
    <xf numFmtId="164" fontId="43" fillId="0" borderId="0" applyFill="0" applyBorder="0" applyAlignment="0" applyProtection="0"/>
    <xf numFmtId="0" fontId="44" fillId="0" borderId="0"/>
    <xf numFmtId="0" fontId="1" fillId="0" borderId="0"/>
  </cellStyleXfs>
  <cellXfs count="273">
    <xf numFmtId="0" fontId="0" fillId="0" borderId="0" xfId="0"/>
    <xf numFmtId="0" fontId="1" fillId="0" borderId="0" xfId="3" applyProtection="1">
      <protection hidden="1"/>
    </xf>
    <xf numFmtId="0" fontId="1" fillId="0" borderId="0" xfId="3" applyAlignment="1" applyProtection="1">
      <alignment horizontal="center"/>
      <protection hidden="1"/>
    </xf>
    <xf numFmtId="0" fontId="1" fillId="0" borderId="1" xfId="3" applyBorder="1" applyProtection="1">
      <protection hidden="1"/>
    </xf>
    <xf numFmtId="0" fontId="1" fillId="0" borderId="2" xfId="3" applyBorder="1" applyProtection="1">
      <protection hidden="1"/>
    </xf>
    <xf numFmtId="0" fontId="2" fillId="0" borderId="3" xfId="3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0" fontId="1" fillId="0" borderId="4" xfId="3" applyBorder="1" applyProtection="1">
      <protection hidden="1"/>
    </xf>
    <xf numFmtId="0" fontId="1" fillId="0" borderId="5" xfId="3" applyBorder="1" applyAlignment="1" applyProtection="1">
      <alignment horizontal="center"/>
      <protection hidden="1"/>
    </xf>
    <xf numFmtId="0" fontId="1" fillId="0" borderId="6" xfId="3" applyBorder="1" applyProtection="1">
      <protection hidden="1"/>
    </xf>
    <xf numFmtId="0" fontId="1" fillId="0" borderId="7" xfId="3" applyBorder="1" applyProtection="1">
      <protection hidden="1"/>
    </xf>
    <xf numFmtId="0" fontId="3" fillId="0" borderId="8" xfId="3" applyFont="1" applyBorder="1" applyAlignment="1" applyProtection="1">
      <alignment horizontal="center" vertical="center" wrapText="1"/>
      <protection hidden="1"/>
    </xf>
    <xf numFmtId="0" fontId="4" fillId="0" borderId="9" xfId="3" applyFont="1" applyBorder="1" applyAlignment="1" applyProtection="1">
      <alignment horizontal="left" vertical="center"/>
      <protection hidden="1"/>
    </xf>
    <xf numFmtId="0" fontId="4" fillId="0" borderId="2" xfId="3" applyFont="1" applyBorder="1" applyAlignment="1" applyProtection="1">
      <alignment horizontal="left" vertical="center"/>
      <protection hidden="1"/>
    </xf>
    <xf numFmtId="0" fontId="5" fillId="0" borderId="2" xfId="3" applyFont="1" applyBorder="1" applyAlignment="1" applyProtection="1">
      <alignment vertical="center"/>
      <protection hidden="1"/>
    </xf>
    <xf numFmtId="0" fontId="4" fillId="0" borderId="9" xfId="3" applyFont="1" applyBorder="1" applyAlignment="1" applyProtection="1">
      <alignment vertical="center"/>
      <protection hidden="1"/>
    </xf>
    <xf numFmtId="0" fontId="5" fillId="0" borderId="2" xfId="3" applyFont="1" applyBorder="1" applyProtection="1">
      <protection hidden="1"/>
    </xf>
    <xf numFmtId="0" fontId="5" fillId="0" borderId="10" xfId="3" applyFont="1" applyBorder="1" applyAlignment="1" applyProtection="1">
      <alignment vertical="center"/>
      <protection hidden="1"/>
    </xf>
    <xf numFmtId="0" fontId="6" fillId="0" borderId="9" xfId="3" applyFont="1" applyBorder="1" applyProtection="1">
      <protection hidden="1"/>
    </xf>
    <xf numFmtId="0" fontId="4" fillId="0" borderId="3" xfId="3" applyFont="1" applyBorder="1" applyAlignment="1" applyProtection="1">
      <alignment vertical="center"/>
      <protection hidden="1"/>
    </xf>
    <xf numFmtId="0" fontId="5" fillId="0" borderId="0" xfId="3" applyFont="1" applyProtection="1">
      <protection hidden="1"/>
    </xf>
    <xf numFmtId="0" fontId="7" fillId="0" borderId="0" xfId="3" applyFont="1" applyProtection="1">
      <protection hidden="1"/>
    </xf>
    <xf numFmtId="0" fontId="4" fillId="0" borderId="11" xfId="3" applyFont="1" applyBorder="1" applyAlignment="1" applyProtection="1">
      <alignment vertical="center"/>
      <protection hidden="1"/>
    </xf>
    <xf numFmtId="0" fontId="4" fillId="0" borderId="12" xfId="3" applyFont="1" applyBorder="1" applyAlignment="1" applyProtection="1">
      <alignment vertical="center"/>
      <protection hidden="1"/>
    </xf>
    <xf numFmtId="0" fontId="4" fillId="0" borderId="13" xfId="3" applyFont="1" applyBorder="1" applyAlignment="1" applyProtection="1">
      <alignment vertical="center"/>
      <protection hidden="1"/>
    </xf>
    <xf numFmtId="0" fontId="4" fillId="0" borderId="14" xfId="3" applyFont="1" applyBorder="1" applyAlignment="1" applyProtection="1">
      <alignment vertical="center"/>
      <protection hidden="1"/>
    </xf>
    <xf numFmtId="0" fontId="5" fillId="0" borderId="13" xfId="3" applyFont="1" applyBorder="1" applyProtection="1">
      <protection hidden="1"/>
    </xf>
    <xf numFmtId="0" fontId="4" fillId="0" borderId="14" xfId="3" applyFont="1" applyBorder="1" applyAlignment="1" applyProtection="1">
      <alignment horizontal="left" vertical="center"/>
      <protection hidden="1"/>
    </xf>
    <xf numFmtId="0" fontId="5" fillId="0" borderId="12" xfId="3" applyFont="1" applyBorder="1" applyAlignment="1" applyProtection="1">
      <alignment vertical="center"/>
      <protection hidden="1"/>
    </xf>
    <xf numFmtId="0" fontId="5" fillId="0" borderId="12" xfId="3" applyFont="1" applyBorder="1" applyProtection="1">
      <protection hidden="1"/>
    </xf>
    <xf numFmtId="0" fontId="4" fillId="0" borderId="15" xfId="3" applyFont="1" applyBorder="1" applyAlignment="1" applyProtection="1">
      <alignment vertical="center"/>
      <protection hidden="1"/>
    </xf>
    <xf numFmtId="0" fontId="4" fillId="0" borderId="0" xfId="3" applyFont="1" applyAlignment="1" applyProtection="1">
      <alignment vertical="center"/>
      <protection hidden="1"/>
    </xf>
    <xf numFmtId="0" fontId="5" fillId="0" borderId="16" xfId="3" applyFont="1" applyBorder="1" applyAlignment="1" applyProtection="1">
      <alignment vertical="center"/>
      <protection hidden="1"/>
    </xf>
    <xf numFmtId="0" fontId="5" fillId="0" borderId="17" xfId="3" applyFont="1" applyBorder="1" applyAlignment="1" applyProtection="1">
      <alignment vertical="center"/>
      <protection hidden="1"/>
    </xf>
    <xf numFmtId="0" fontId="4" fillId="0" borderId="18" xfId="3" applyFont="1" applyBorder="1" applyAlignment="1" applyProtection="1">
      <alignment horizontal="center" vertical="center"/>
      <protection hidden="1"/>
    </xf>
    <xf numFmtId="4" fontId="13" fillId="2" borderId="19" xfId="3" applyNumberFormat="1" applyFont="1" applyFill="1" applyBorder="1" applyAlignment="1" applyProtection="1">
      <alignment horizontal="center" vertical="center"/>
      <protection locked="0"/>
    </xf>
    <xf numFmtId="0" fontId="1" fillId="0" borderId="16" xfId="3" applyBorder="1" applyAlignment="1" applyProtection="1">
      <alignment horizontal="center"/>
      <protection hidden="1"/>
    </xf>
    <xf numFmtId="0" fontId="1" fillId="0" borderId="15" xfId="3" applyBorder="1" applyAlignment="1" applyProtection="1">
      <alignment vertical="center"/>
      <protection hidden="1"/>
    </xf>
    <xf numFmtId="0" fontId="1" fillId="0" borderId="0" xfId="3" applyAlignment="1" applyProtection="1">
      <alignment vertical="center"/>
      <protection hidden="1"/>
    </xf>
    <xf numFmtId="0" fontId="7" fillId="0" borderId="0" xfId="3" applyFont="1" applyAlignment="1" applyProtection="1">
      <alignment vertical="center"/>
      <protection hidden="1"/>
    </xf>
    <xf numFmtId="0" fontId="14" fillId="0" borderId="0" xfId="3" applyFont="1" applyAlignment="1" applyProtection="1">
      <alignment vertical="center"/>
      <protection hidden="1"/>
    </xf>
    <xf numFmtId="0" fontId="1" fillId="0" borderId="0" xfId="3" applyAlignment="1" applyProtection="1">
      <alignment vertical="center"/>
      <protection locked="0"/>
    </xf>
    <xf numFmtId="0" fontId="1" fillId="0" borderId="0" xfId="3" applyAlignment="1" applyProtection="1">
      <alignment horizontal="center" vertical="center"/>
      <protection hidden="1"/>
    </xf>
    <xf numFmtId="0" fontId="9" fillId="0" borderId="20" xfId="3" applyFont="1" applyBorder="1" applyAlignment="1" applyProtection="1">
      <alignment horizontal="center" vertical="center"/>
      <protection hidden="1"/>
    </xf>
    <xf numFmtId="0" fontId="19" fillId="0" borderId="0" xfId="3" applyFont="1" applyAlignment="1" applyProtection="1">
      <alignment horizontal="center" vertical="center"/>
      <protection hidden="1"/>
    </xf>
    <xf numFmtId="0" fontId="5" fillId="0" borderId="0" xfId="3" applyFont="1" applyAlignment="1" applyProtection="1">
      <alignment vertical="center"/>
      <protection hidden="1"/>
    </xf>
    <xf numFmtId="0" fontId="16" fillId="0" borderId="21" xfId="3" applyFont="1" applyBorder="1" applyAlignment="1" applyProtection="1">
      <alignment horizontal="center" vertical="center" wrapText="1"/>
      <protection hidden="1"/>
    </xf>
    <xf numFmtId="0" fontId="5" fillId="0" borderId="0" xfId="3" applyFont="1" applyAlignment="1" applyProtection="1">
      <alignment horizontal="center" vertical="center"/>
      <protection hidden="1"/>
    </xf>
    <xf numFmtId="49" fontId="1" fillId="0" borderId="0" xfId="3" applyNumberFormat="1" applyAlignment="1" applyProtection="1">
      <alignment horizontal="center"/>
      <protection hidden="1"/>
    </xf>
    <xf numFmtId="49" fontId="21" fillId="0" borderId="22" xfId="3" applyNumberFormat="1" applyFont="1" applyBorder="1" applyAlignment="1" applyProtection="1">
      <alignment horizontal="center" vertical="center" wrapText="1"/>
      <protection hidden="1"/>
    </xf>
    <xf numFmtId="49" fontId="16" fillId="0" borderId="18" xfId="3" applyNumberFormat="1" applyFont="1" applyBorder="1" applyAlignment="1" applyProtection="1">
      <alignment horizontal="center" vertical="center"/>
      <protection hidden="1"/>
    </xf>
    <xf numFmtId="49" fontId="16" fillId="0" borderId="23" xfId="3" applyNumberFormat="1" applyFont="1" applyBorder="1" applyAlignment="1" applyProtection="1">
      <alignment horizontal="center" vertical="center"/>
      <protection hidden="1"/>
    </xf>
    <xf numFmtId="49" fontId="16" fillId="0" borderId="24" xfId="3" applyNumberFormat="1" applyFont="1" applyBorder="1" applyAlignment="1" applyProtection="1">
      <alignment horizontal="center" vertical="center"/>
      <protection hidden="1"/>
    </xf>
    <xf numFmtId="49" fontId="0" fillId="0" borderId="0" xfId="0" applyNumberFormat="1" applyProtection="1">
      <protection hidden="1"/>
    </xf>
    <xf numFmtId="49" fontId="5" fillId="0" borderId="0" xfId="3" applyNumberFormat="1" applyFont="1" applyAlignment="1" applyProtection="1">
      <alignment horizontal="center" vertical="center"/>
      <protection hidden="1"/>
    </xf>
    <xf numFmtId="49" fontId="5" fillId="0" borderId="0" xfId="3" applyNumberFormat="1" applyFont="1" applyAlignment="1" applyProtection="1">
      <alignment horizontal="left" vertical="center" wrapText="1"/>
      <protection hidden="1"/>
    </xf>
    <xf numFmtId="49" fontId="5" fillId="0" borderId="0" xfId="3" applyNumberFormat="1" applyFont="1" applyAlignment="1" applyProtection="1">
      <alignment vertical="center" wrapText="1"/>
      <protection hidden="1"/>
    </xf>
    <xf numFmtId="49" fontId="5" fillId="0" borderId="0" xfId="3" applyNumberFormat="1" applyFont="1" applyAlignment="1" applyProtection="1">
      <alignment vertical="center"/>
      <protection hidden="1"/>
    </xf>
    <xf numFmtId="0" fontId="1" fillId="2" borderId="0" xfId="3" applyFill="1" applyAlignment="1" applyProtection="1">
      <alignment horizontal="center" vertical="center"/>
      <protection locked="0"/>
    </xf>
    <xf numFmtId="1" fontId="1" fillId="2" borderId="23" xfId="3" applyNumberFormat="1" applyFill="1" applyBorder="1" applyAlignment="1" applyProtection="1">
      <alignment horizontal="center" vertical="center"/>
      <protection locked="0"/>
    </xf>
    <xf numFmtId="20" fontId="1" fillId="2" borderId="21" xfId="3" applyNumberFormat="1" applyFill="1" applyBorder="1" applyAlignment="1" applyProtection="1">
      <alignment horizontal="center" vertical="center"/>
      <protection locked="0"/>
    </xf>
    <xf numFmtId="0" fontId="1" fillId="2" borderId="23" xfId="3" applyFill="1" applyBorder="1" applyAlignment="1" applyProtection="1">
      <alignment horizontal="center" vertical="center"/>
      <protection locked="0"/>
    </xf>
    <xf numFmtId="20" fontId="1" fillId="2" borderId="23" xfId="3" applyNumberFormat="1" applyFill="1" applyBorder="1" applyAlignment="1" applyProtection="1">
      <alignment horizontal="center" vertical="center"/>
      <protection locked="0"/>
    </xf>
    <xf numFmtId="4" fontId="1" fillId="0" borderId="23" xfId="3" applyNumberFormat="1" applyBorder="1" applyAlignment="1" applyProtection="1">
      <alignment horizontal="right" vertical="center"/>
      <protection hidden="1"/>
    </xf>
    <xf numFmtId="4" fontId="1" fillId="0" borderId="25" xfId="3" applyNumberFormat="1" applyBorder="1" applyAlignment="1" applyProtection="1">
      <alignment horizontal="right" vertical="center"/>
      <protection hidden="1"/>
    </xf>
    <xf numFmtId="4" fontId="1" fillId="0" borderId="0" xfId="3" applyNumberFormat="1" applyAlignment="1" applyProtection="1">
      <alignment vertical="center"/>
      <protection hidden="1"/>
    </xf>
    <xf numFmtId="2" fontId="1" fillId="0" borderId="0" xfId="3" applyNumberFormat="1" applyAlignment="1" applyProtection="1">
      <alignment vertical="center" wrapText="1"/>
      <protection hidden="1"/>
    </xf>
    <xf numFmtId="1" fontId="1" fillId="3" borderId="0" xfId="3" applyNumberFormat="1" applyFill="1" applyAlignment="1" applyProtection="1">
      <alignment horizontal="right" vertical="center" wrapText="1"/>
      <protection hidden="1"/>
    </xf>
    <xf numFmtId="2" fontId="1" fillId="0" borderId="0" xfId="3" applyNumberFormat="1" applyAlignment="1" applyProtection="1">
      <alignment horizontal="right" vertical="center" wrapText="1"/>
      <protection hidden="1"/>
    </xf>
    <xf numFmtId="1" fontId="1" fillId="2" borderId="21" xfId="3" applyNumberFormat="1" applyFill="1" applyBorder="1" applyAlignment="1" applyProtection="1">
      <alignment horizontal="center" vertical="center"/>
      <protection locked="0"/>
    </xf>
    <xf numFmtId="0" fontId="1" fillId="2" borderId="21" xfId="3" applyFill="1" applyBorder="1" applyAlignment="1" applyProtection="1">
      <alignment horizontal="center" vertical="center"/>
      <protection locked="0"/>
    </xf>
    <xf numFmtId="4" fontId="1" fillId="0" borderId="21" xfId="3" applyNumberFormat="1" applyBorder="1" applyAlignment="1" applyProtection="1">
      <alignment horizontal="right" vertical="center"/>
      <protection hidden="1"/>
    </xf>
    <xf numFmtId="4" fontId="1" fillId="0" borderId="26" xfId="3" applyNumberFormat="1" applyBorder="1" applyAlignment="1" applyProtection="1">
      <alignment horizontal="right" vertical="center"/>
      <protection hidden="1"/>
    </xf>
    <xf numFmtId="12" fontId="1" fillId="0" borderId="0" xfId="3" applyNumberFormat="1" applyAlignment="1" applyProtection="1">
      <alignment vertical="center" wrapText="1"/>
      <protection hidden="1"/>
    </xf>
    <xf numFmtId="0" fontId="1" fillId="0" borderId="0" xfId="3" applyAlignment="1" applyProtection="1">
      <alignment vertical="center" wrapText="1"/>
      <protection hidden="1"/>
    </xf>
    <xf numFmtId="0" fontId="1" fillId="2" borderId="21" xfId="3" applyFill="1" applyBorder="1" applyAlignment="1" applyProtection="1">
      <alignment horizontal="center"/>
      <protection locked="0"/>
    </xf>
    <xf numFmtId="1" fontId="1" fillId="2" borderId="21" xfId="3" applyNumberFormat="1" applyFill="1" applyBorder="1" applyAlignment="1" applyProtection="1">
      <alignment horizontal="center"/>
      <protection locked="0"/>
    </xf>
    <xf numFmtId="4" fontId="1" fillId="0" borderId="0" xfId="3" applyNumberFormat="1" applyProtection="1">
      <protection hidden="1"/>
    </xf>
    <xf numFmtId="2" fontId="1" fillId="0" borderId="0" xfId="3" applyNumberFormat="1" applyProtection="1">
      <protection hidden="1"/>
    </xf>
    <xf numFmtId="1" fontId="1" fillId="3" borderId="0" xfId="3" applyNumberFormat="1" applyFill="1" applyAlignment="1" applyProtection="1">
      <alignment horizontal="right"/>
      <protection hidden="1"/>
    </xf>
    <xf numFmtId="4" fontId="1" fillId="0" borderId="22" xfId="3" applyNumberFormat="1" applyBorder="1" applyAlignment="1" applyProtection="1">
      <alignment horizontal="right" vertical="center"/>
      <protection hidden="1"/>
    </xf>
    <xf numFmtId="0" fontId="1" fillId="2" borderId="22" xfId="3" applyFill="1" applyBorder="1" applyAlignment="1" applyProtection="1">
      <alignment horizontal="center"/>
      <protection locked="0"/>
    </xf>
    <xf numFmtId="1" fontId="1" fillId="2" borderId="22" xfId="3" applyNumberFormat="1" applyFill="1" applyBorder="1" applyAlignment="1" applyProtection="1">
      <alignment horizontal="center"/>
      <protection locked="0"/>
    </xf>
    <xf numFmtId="4" fontId="1" fillId="0" borderId="27" xfId="3" applyNumberFormat="1" applyBorder="1" applyAlignment="1" applyProtection="1">
      <alignment horizontal="right"/>
      <protection hidden="1"/>
    </xf>
    <xf numFmtId="4" fontId="7" fillId="0" borderId="28" xfId="3" applyNumberFormat="1" applyFont="1" applyBorder="1" applyAlignment="1" applyProtection="1">
      <alignment horizontal="right"/>
      <protection hidden="1"/>
    </xf>
    <xf numFmtId="4" fontId="7" fillId="0" borderId="0" xfId="3" applyNumberFormat="1" applyFont="1" applyProtection="1">
      <protection hidden="1"/>
    </xf>
    <xf numFmtId="4" fontId="23" fillId="2" borderId="28" xfId="3" applyNumberFormat="1" applyFont="1" applyFill="1" applyBorder="1" applyAlignment="1" applyProtection="1">
      <alignment horizontal="right" vertical="center"/>
      <protection locked="0"/>
    </xf>
    <xf numFmtId="4" fontId="1" fillId="0" borderId="29" xfId="3" applyNumberFormat="1" applyBorder="1" applyAlignment="1" applyProtection="1">
      <alignment horizontal="right" vertical="center"/>
      <protection hidden="1"/>
    </xf>
    <xf numFmtId="0" fontId="23" fillId="0" borderId="0" xfId="3" applyFont="1" applyAlignment="1" applyProtection="1">
      <alignment horizontal="center"/>
      <protection hidden="1"/>
    </xf>
    <xf numFmtId="1" fontId="7" fillId="0" borderId="0" xfId="3" applyNumberFormat="1" applyFont="1" applyAlignment="1" applyProtection="1">
      <alignment horizontal="center"/>
      <protection hidden="1"/>
    </xf>
    <xf numFmtId="166" fontId="7" fillId="0" borderId="0" xfId="3" applyNumberFormat="1" applyFont="1" applyAlignment="1" applyProtection="1">
      <alignment horizontal="center"/>
      <protection hidden="1"/>
    </xf>
    <xf numFmtId="0" fontId="24" fillId="0" borderId="4" xfId="3" applyFont="1" applyBorder="1" applyAlignment="1" applyProtection="1">
      <alignment horizontal="left" vertical="top" wrapText="1"/>
      <protection hidden="1"/>
    </xf>
    <xf numFmtId="0" fontId="25" fillId="0" borderId="4" xfId="3" applyFont="1" applyBorder="1" applyAlignment="1" applyProtection="1">
      <alignment horizontal="left" vertical="top" wrapText="1"/>
      <protection hidden="1"/>
    </xf>
    <xf numFmtId="0" fontId="25" fillId="0" borderId="4" xfId="3" applyFont="1" applyBorder="1" applyAlignment="1" applyProtection="1">
      <alignment horizontal="center" vertical="top" wrapText="1"/>
      <protection hidden="1"/>
    </xf>
    <xf numFmtId="49" fontId="4" fillId="0" borderId="24" xfId="3" applyNumberFormat="1" applyFont="1" applyBorder="1" applyAlignment="1" applyProtection="1">
      <alignment horizontal="center" vertical="center" wrapText="1"/>
      <protection hidden="1"/>
    </xf>
    <xf numFmtId="0" fontId="23" fillId="0" borderId="30" xfId="3" applyFont="1" applyBorder="1" applyAlignment="1" applyProtection="1">
      <alignment horizontal="left" vertical="top" wrapText="1"/>
      <protection hidden="1"/>
    </xf>
    <xf numFmtId="0" fontId="23" fillId="0" borderId="0" xfId="3" applyFont="1" applyAlignment="1" applyProtection="1">
      <alignment horizontal="left" vertical="top" wrapText="1"/>
      <protection hidden="1"/>
    </xf>
    <xf numFmtId="0" fontId="28" fillId="0" borderId="1" xfId="3" applyFont="1" applyBorder="1" applyProtection="1">
      <protection hidden="1"/>
    </xf>
    <xf numFmtId="0" fontId="6" fillId="0" borderId="2" xfId="3" applyFont="1" applyBorder="1" applyProtection="1">
      <protection hidden="1"/>
    </xf>
    <xf numFmtId="0" fontId="6" fillId="0" borderId="10" xfId="3" applyFont="1" applyBorder="1" applyProtection="1">
      <protection hidden="1"/>
    </xf>
    <xf numFmtId="0" fontId="28" fillId="0" borderId="9" xfId="3" applyFont="1" applyBorder="1" applyProtection="1">
      <protection hidden="1"/>
    </xf>
    <xf numFmtId="0" fontId="4" fillId="0" borderId="2" xfId="3" applyFont="1" applyBorder="1" applyProtection="1">
      <protection hidden="1"/>
    </xf>
    <xf numFmtId="0" fontId="18" fillId="0" borderId="9" xfId="3" applyFont="1" applyBorder="1" applyProtection="1">
      <protection hidden="1"/>
    </xf>
    <xf numFmtId="0" fontId="9" fillId="0" borderId="2" xfId="3" applyFont="1" applyBorder="1" applyProtection="1">
      <protection hidden="1"/>
    </xf>
    <xf numFmtId="0" fontId="9" fillId="0" borderId="3" xfId="3" applyFont="1" applyBorder="1" applyProtection="1">
      <protection hidden="1"/>
    </xf>
    <xf numFmtId="0" fontId="6" fillId="0" borderId="4" xfId="3" applyFont="1" applyBorder="1" applyProtection="1">
      <protection hidden="1"/>
    </xf>
    <xf numFmtId="0" fontId="30" fillId="0" borderId="0" xfId="3" applyFont="1" applyProtection="1">
      <protection hidden="1"/>
    </xf>
    <xf numFmtId="0" fontId="30" fillId="0" borderId="16" xfId="3" applyFont="1" applyBorder="1" applyProtection="1">
      <protection hidden="1"/>
    </xf>
    <xf numFmtId="0" fontId="24" fillId="0" borderId="15" xfId="3" applyFont="1" applyBorder="1" applyProtection="1">
      <protection hidden="1"/>
    </xf>
    <xf numFmtId="0" fontId="24" fillId="0" borderId="0" xfId="3" applyFont="1" applyProtection="1">
      <protection hidden="1"/>
    </xf>
    <xf numFmtId="0" fontId="14" fillId="0" borderId="15" xfId="3" applyFont="1" applyBorder="1" applyAlignment="1" applyProtection="1">
      <alignment horizontal="left"/>
      <protection hidden="1"/>
    </xf>
    <xf numFmtId="0" fontId="14" fillId="0" borderId="0" xfId="3" applyFont="1" applyProtection="1">
      <protection hidden="1"/>
    </xf>
    <xf numFmtId="164" fontId="31" fillId="0" borderId="0" xfId="1" applyFont="1" applyFill="1" applyBorder="1" applyAlignment="1" applyProtection="1">
      <alignment horizontal="left"/>
      <protection hidden="1"/>
    </xf>
    <xf numFmtId="0" fontId="14" fillId="0" borderId="0" xfId="3" applyFont="1" applyAlignment="1" applyProtection="1">
      <alignment horizontal="center"/>
      <protection hidden="1"/>
    </xf>
    <xf numFmtId="0" fontId="5" fillId="0" borderId="4" xfId="3" applyFont="1" applyBorder="1" applyProtection="1">
      <protection hidden="1"/>
    </xf>
    <xf numFmtId="0" fontId="4" fillId="0" borderId="4" xfId="3" applyFont="1" applyBorder="1" applyProtection="1">
      <protection hidden="1"/>
    </xf>
    <xf numFmtId="0" fontId="4" fillId="0" borderId="0" xfId="3" applyFont="1" applyProtection="1">
      <protection hidden="1"/>
    </xf>
    <xf numFmtId="0" fontId="4" fillId="0" borderId="16" xfId="3" applyFont="1" applyBorder="1" applyProtection="1">
      <protection hidden="1"/>
    </xf>
    <xf numFmtId="0" fontId="4" fillId="0" borderId="15" xfId="3" applyFont="1" applyBorder="1" applyProtection="1">
      <protection hidden="1"/>
    </xf>
    <xf numFmtId="0" fontId="14" fillId="0" borderId="0" xfId="3" applyFont="1" applyAlignment="1" applyProtection="1">
      <alignment horizontal="left"/>
      <protection hidden="1"/>
    </xf>
    <xf numFmtId="0" fontId="9" fillId="0" borderId="0" xfId="3" applyFont="1" applyAlignment="1" applyProtection="1">
      <alignment horizontal="left"/>
      <protection hidden="1"/>
    </xf>
    <xf numFmtId="0" fontId="14" fillId="0" borderId="5" xfId="3" applyFont="1" applyBorder="1" applyAlignment="1" applyProtection="1">
      <alignment horizontal="left"/>
      <protection hidden="1"/>
    </xf>
    <xf numFmtId="0" fontId="24" fillId="0" borderId="4" xfId="3" applyFont="1" applyBorder="1" applyProtection="1">
      <protection hidden="1"/>
    </xf>
    <xf numFmtId="0" fontId="24" fillId="0" borderId="16" xfId="3" applyFont="1" applyBorder="1" applyProtection="1">
      <protection hidden="1"/>
    </xf>
    <xf numFmtId="165" fontId="31" fillId="0" borderId="0" xfId="3" applyNumberFormat="1" applyFont="1" applyAlignment="1" applyProtection="1">
      <alignment horizontal="left"/>
      <protection hidden="1"/>
    </xf>
    <xf numFmtId="165" fontId="31" fillId="0" borderId="5" xfId="3" applyNumberFormat="1" applyFont="1" applyBorder="1" applyAlignment="1" applyProtection="1">
      <alignment horizontal="left"/>
      <protection hidden="1"/>
    </xf>
    <xf numFmtId="0" fontId="9" fillId="0" borderId="15" xfId="3" applyFont="1" applyBorder="1" applyProtection="1">
      <protection hidden="1"/>
    </xf>
    <xf numFmtId="0" fontId="9" fillId="0" borderId="5" xfId="3" applyFont="1" applyBorder="1" applyAlignment="1" applyProtection="1">
      <alignment horizontal="left"/>
      <protection hidden="1"/>
    </xf>
    <xf numFmtId="14" fontId="31" fillId="0" borderId="0" xfId="3" applyNumberFormat="1" applyFont="1" applyAlignment="1" applyProtection="1">
      <alignment horizontal="left"/>
      <protection hidden="1"/>
    </xf>
    <xf numFmtId="0" fontId="14" fillId="0" borderId="15" xfId="3" applyFont="1" applyBorder="1" applyProtection="1">
      <protection hidden="1"/>
    </xf>
    <xf numFmtId="14" fontId="31" fillId="0" borderId="0" xfId="3" applyNumberFormat="1" applyFont="1" applyAlignment="1" applyProtection="1">
      <alignment horizontal="center"/>
      <protection hidden="1"/>
    </xf>
    <xf numFmtId="0" fontId="9" fillId="0" borderId="15" xfId="3" applyFont="1" applyBorder="1" applyAlignment="1" applyProtection="1">
      <alignment horizontal="center"/>
      <protection hidden="1"/>
    </xf>
    <xf numFmtId="0" fontId="9" fillId="0" borderId="0" xfId="3" applyFont="1" applyAlignment="1" applyProtection="1">
      <alignment horizontal="center"/>
      <protection hidden="1"/>
    </xf>
    <xf numFmtId="0" fontId="34" fillId="0" borderId="0" xfId="3" applyFont="1" applyAlignment="1" applyProtection="1">
      <alignment horizontal="center"/>
      <protection hidden="1"/>
    </xf>
    <xf numFmtId="0" fontId="1" fillId="0" borderId="0" xfId="3" applyAlignment="1" applyProtection="1">
      <alignment horizontal="right"/>
      <protection hidden="1"/>
    </xf>
    <xf numFmtId="0" fontId="0" fillId="0" borderId="0" xfId="0" applyAlignment="1" applyProtection="1">
      <alignment vertical="center"/>
      <protection hidden="1"/>
    </xf>
    <xf numFmtId="0" fontId="9" fillId="4" borderId="23" xfId="3" applyFont="1" applyFill="1" applyBorder="1" applyAlignment="1" applyProtection="1">
      <alignment horizontal="center" vertical="center" wrapText="1"/>
      <protection hidden="1"/>
    </xf>
    <xf numFmtId="0" fontId="11" fillId="4" borderId="23" xfId="3" applyFont="1" applyFill="1" applyBorder="1" applyAlignment="1" applyProtection="1">
      <alignment horizontal="center" vertical="center" wrapText="1"/>
      <protection hidden="1"/>
    </xf>
    <xf numFmtId="0" fontId="35" fillId="4" borderId="24" xfId="3" applyFont="1" applyFill="1" applyBorder="1" applyAlignment="1" applyProtection="1">
      <alignment horizontal="center" vertical="center" wrapText="1"/>
      <protection hidden="1"/>
    </xf>
    <xf numFmtId="0" fontId="1" fillId="0" borderId="24" xfId="3" applyBorder="1" applyAlignment="1" applyProtection="1">
      <alignment horizontal="center" vertical="center"/>
      <protection hidden="1"/>
    </xf>
    <xf numFmtId="0" fontId="9" fillId="4" borderId="21" xfId="3" applyFont="1" applyFill="1" applyBorder="1" applyAlignment="1" applyProtection="1">
      <alignment horizontal="center" vertical="center" wrapText="1"/>
      <protection hidden="1"/>
    </xf>
    <xf numFmtId="0" fontId="11" fillId="4" borderId="21" xfId="3" applyFont="1" applyFill="1" applyBorder="1" applyAlignment="1" applyProtection="1">
      <alignment horizontal="center" vertical="center" wrapText="1"/>
      <protection hidden="1"/>
    </xf>
    <xf numFmtId="0" fontId="1" fillId="4" borderId="24" xfId="3" applyFill="1" applyBorder="1" applyAlignment="1" applyProtection="1">
      <alignment horizontal="center" vertical="center"/>
      <protection hidden="1"/>
    </xf>
    <xf numFmtId="9" fontId="38" fillId="5" borderId="24" xfId="3" applyNumberFormat="1" applyFont="1" applyFill="1" applyBorder="1" applyAlignment="1" applyProtection="1">
      <alignment horizontal="center" vertical="center" wrapText="1"/>
      <protection hidden="1"/>
    </xf>
    <xf numFmtId="9" fontId="23" fillId="5" borderId="24" xfId="3" applyNumberFormat="1" applyFont="1" applyFill="1" applyBorder="1" applyAlignment="1" applyProtection="1">
      <alignment horizontal="center" vertical="center" wrapText="1"/>
      <protection hidden="1"/>
    </xf>
    <xf numFmtId="9" fontId="38" fillId="6" borderId="24" xfId="3" applyNumberFormat="1" applyFont="1" applyFill="1" applyBorder="1" applyAlignment="1" applyProtection="1">
      <alignment horizontal="center" vertical="center" wrapText="1"/>
      <protection hidden="1"/>
    </xf>
    <xf numFmtId="9" fontId="23" fillId="6" borderId="24" xfId="3" applyNumberFormat="1" applyFont="1" applyFill="1" applyBorder="1" applyAlignment="1" applyProtection="1">
      <alignment horizontal="center" vertical="center" wrapText="1"/>
      <protection hidden="1"/>
    </xf>
    <xf numFmtId="9" fontId="38" fillId="7" borderId="24" xfId="3" applyNumberFormat="1" applyFont="1" applyFill="1" applyBorder="1" applyAlignment="1" applyProtection="1">
      <alignment horizontal="center" vertical="center" wrapText="1"/>
      <protection hidden="1"/>
    </xf>
    <xf numFmtId="9" fontId="23" fillId="7" borderId="24" xfId="3" applyNumberFormat="1" applyFont="1" applyFill="1" applyBorder="1" applyAlignment="1" applyProtection="1">
      <alignment horizontal="center" vertical="center" wrapText="1"/>
      <protection hidden="1"/>
    </xf>
    <xf numFmtId="0" fontId="9" fillId="0" borderId="18" xfId="3" applyFont="1" applyBorder="1" applyAlignment="1" applyProtection="1">
      <alignment horizontal="center" vertical="center" wrapText="1"/>
      <protection hidden="1"/>
    </xf>
    <xf numFmtId="0" fontId="9" fillId="0" borderId="24" xfId="3" applyFont="1" applyBorder="1" applyAlignment="1" applyProtection="1">
      <alignment horizontal="center" vertical="center" wrapText="1"/>
      <protection hidden="1"/>
    </xf>
    <xf numFmtId="4" fontId="39" fillId="0" borderId="24" xfId="3" applyNumberFormat="1" applyFont="1" applyBorder="1" applyAlignment="1" applyProtection="1">
      <alignment horizontal="center" vertical="center" wrapText="1"/>
      <protection hidden="1"/>
    </xf>
    <xf numFmtId="0" fontId="9" fillId="4" borderId="22" xfId="3" applyFont="1" applyFill="1" applyBorder="1" applyAlignment="1" applyProtection="1">
      <alignment horizontal="center" vertical="center" wrapText="1"/>
      <protection hidden="1"/>
    </xf>
    <xf numFmtId="0" fontId="11" fillId="4" borderId="22" xfId="3" applyFont="1" applyFill="1" applyBorder="1" applyAlignment="1" applyProtection="1">
      <alignment horizontal="center" vertical="center" wrapText="1"/>
      <protection hidden="1"/>
    </xf>
    <xf numFmtId="4" fontId="9" fillId="4" borderId="24" xfId="3" applyNumberFormat="1" applyFont="1" applyFill="1" applyBorder="1" applyAlignment="1" applyProtection="1">
      <alignment horizontal="center" vertical="center" wrapText="1"/>
      <protection hidden="1"/>
    </xf>
    <xf numFmtId="0" fontId="9" fillId="5" borderId="24" xfId="3" applyFont="1" applyFill="1" applyBorder="1" applyAlignment="1" applyProtection="1">
      <alignment horizontal="center" vertical="center" wrapText="1"/>
      <protection hidden="1"/>
    </xf>
    <xf numFmtId="0" fontId="10" fillId="6" borderId="24" xfId="3" applyFont="1" applyFill="1" applyBorder="1" applyAlignment="1" applyProtection="1">
      <alignment horizontal="center" vertical="center" wrapText="1"/>
      <protection hidden="1"/>
    </xf>
    <xf numFmtId="0" fontId="9" fillId="6" borderId="24" xfId="3" applyFont="1" applyFill="1" applyBorder="1" applyAlignment="1" applyProtection="1">
      <alignment horizontal="center" vertical="center" wrapText="1"/>
      <protection hidden="1"/>
    </xf>
    <xf numFmtId="0" fontId="4" fillId="7" borderId="24" xfId="3" applyFont="1" applyFill="1" applyBorder="1" applyAlignment="1" applyProtection="1">
      <alignment horizontal="center" vertical="center" wrapText="1"/>
      <protection hidden="1"/>
    </xf>
    <xf numFmtId="0" fontId="1" fillId="0" borderId="24" xfId="3" applyBorder="1" applyAlignment="1" applyProtection="1">
      <alignment horizontal="left" vertical="center" wrapText="1"/>
      <protection hidden="1"/>
    </xf>
    <xf numFmtId="9" fontId="38" fillId="0" borderId="24" xfId="3" applyNumberFormat="1" applyFont="1" applyBorder="1" applyAlignment="1" applyProtection="1">
      <alignment horizontal="center" vertical="center" wrapText="1"/>
      <protection hidden="1"/>
    </xf>
    <xf numFmtId="167" fontId="38" fillId="0" borderId="24" xfId="3" applyNumberFormat="1" applyFont="1" applyBorder="1" applyAlignment="1" applyProtection="1">
      <alignment horizontal="right" vertical="center" wrapText="1"/>
      <protection hidden="1"/>
    </xf>
    <xf numFmtId="4" fontId="40" fillId="0" borderId="24" xfId="3" applyNumberFormat="1" applyFont="1" applyBorder="1" applyAlignment="1" applyProtection="1">
      <alignment horizontal="right" vertical="center" wrapText="1"/>
      <protection hidden="1"/>
    </xf>
    <xf numFmtId="0" fontId="1" fillId="4" borderId="24" xfId="3" applyFill="1" applyBorder="1" applyAlignment="1" applyProtection="1">
      <alignment horizontal="center" vertical="center" wrapText="1"/>
      <protection hidden="1"/>
    </xf>
    <xf numFmtId="0" fontId="9" fillId="4" borderId="24" xfId="3" applyFont="1" applyFill="1" applyBorder="1" applyAlignment="1" applyProtection="1">
      <alignment horizontal="left" vertical="center" wrapText="1"/>
      <protection hidden="1"/>
    </xf>
    <xf numFmtId="4" fontId="38" fillId="4" borderId="24" xfId="3" applyNumberFormat="1" applyFont="1" applyFill="1" applyBorder="1" applyAlignment="1" applyProtection="1">
      <alignment horizontal="right" vertical="center" wrapText="1"/>
      <protection hidden="1"/>
    </xf>
    <xf numFmtId="167" fontId="38" fillId="5" borderId="24" xfId="3" applyNumberFormat="1" applyFont="1" applyFill="1" applyBorder="1" applyAlignment="1" applyProtection="1">
      <alignment horizontal="right" vertical="center" wrapText="1"/>
      <protection hidden="1"/>
    </xf>
    <xf numFmtId="4" fontId="38" fillId="5" borderId="24" xfId="3" applyNumberFormat="1" applyFont="1" applyFill="1" applyBorder="1" applyAlignment="1" applyProtection="1">
      <alignment horizontal="right" vertical="center" wrapText="1"/>
      <protection hidden="1"/>
    </xf>
    <xf numFmtId="167" fontId="38" fillId="6" borderId="24" xfId="3" applyNumberFormat="1" applyFont="1" applyFill="1" applyBorder="1" applyAlignment="1" applyProtection="1">
      <alignment horizontal="right" vertical="center" wrapText="1"/>
      <protection hidden="1"/>
    </xf>
    <xf numFmtId="4" fontId="38" fillId="6" borderId="24" xfId="3" applyNumberFormat="1" applyFont="1" applyFill="1" applyBorder="1" applyAlignment="1" applyProtection="1">
      <alignment horizontal="right" vertical="center" wrapText="1"/>
      <protection hidden="1"/>
    </xf>
    <xf numFmtId="167" fontId="38" fillId="7" borderId="24" xfId="3" applyNumberFormat="1" applyFont="1" applyFill="1" applyBorder="1" applyAlignment="1" applyProtection="1">
      <alignment horizontal="right" vertical="center" wrapText="1"/>
      <protection hidden="1"/>
    </xf>
    <xf numFmtId="4" fontId="38" fillId="7" borderId="24" xfId="3" applyNumberFormat="1" applyFont="1" applyFill="1" applyBorder="1" applyAlignment="1" applyProtection="1">
      <alignment horizontal="right" vertical="center" wrapText="1"/>
      <protection hidden="1"/>
    </xf>
    <xf numFmtId="0" fontId="23" fillId="4" borderId="24" xfId="3" applyFont="1" applyFill="1" applyBorder="1" applyAlignment="1" applyProtection="1">
      <alignment horizontal="center" vertical="center" wrapText="1"/>
      <protection hidden="1"/>
    </xf>
    <xf numFmtId="0" fontId="10" fillId="0" borderId="24" xfId="3" applyFont="1" applyBorder="1" applyAlignment="1" applyProtection="1">
      <alignment horizontal="left" vertical="center" wrapText="1"/>
      <protection hidden="1"/>
    </xf>
    <xf numFmtId="9" fontId="41" fillId="0" borderId="24" xfId="3" applyNumberFormat="1" applyFont="1" applyBorder="1" applyAlignment="1" applyProtection="1">
      <alignment horizontal="center" vertical="center" wrapText="1"/>
      <protection hidden="1"/>
    </xf>
    <xf numFmtId="167" fontId="41" fillId="0" borderId="24" xfId="3" applyNumberFormat="1" applyFont="1" applyBorder="1" applyAlignment="1" applyProtection="1">
      <alignment horizontal="right" vertical="center" wrapText="1"/>
      <protection hidden="1"/>
    </xf>
    <xf numFmtId="4" fontId="39" fillId="0" borderId="24" xfId="3" applyNumberFormat="1" applyFont="1" applyBorder="1" applyAlignment="1" applyProtection="1">
      <alignment horizontal="right" vertical="center" wrapText="1"/>
      <protection hidden="1"/>
    </xf>
    <xf numFmtId="0" fontId="10" fillId="4" borderId="24" xfId="3" applyFont="1" applyFill="1" applyBorder="1" applyAlignment="1" applyProtection="1">
      <alignment horizontal="center" vertical="center" wrapText="1"/>
      <protection hidden="1"/>
    </xf>
    <xf numFmtId="4" fontId="41" fillId="4" borderId="24" xfId="3" applyNumberFormat="1" applyFont="1" applyFill="1" applyBorder="1" applyAlignment="1" applyProtection="1">
      <alignment horizontal="right" vertical="center" wrapText="1"/>
      <protection hidden="1"/>
    </xf>
    <xf numFmtId="167" fontId="41" fillId="5" borderId="24" xfId="3" applyNumberFormat="1" applyFont="1" applyFill="1" applyBorder="1" applyAlignment="1" applyProtection="1">
      <alignment horizontal="right" vertical="center" wrapText="1"/>
      <protection hidden="1"/>
    </xf>
    <xf numFmtId="167" fontId="41" fillId="7" borderId="24" xfId="3" applyNumberFormat="1" applyFont="1" applyFill="1" applyBorder="1" applyAlignment="1" applyProtection="1">
      <alignment horizontal="right" vertical="center" wrapText="1"/>
      <protection hidden="1"/>
    </xf>
    <xf numFmtId="0" fontId="38" fillId="0" borderId="0" xfId="3" applyFont="1" applyAlignment="1" applyProtection="1">
      <alignment horizontal="center"/>
      <protection hidden="1"/>
    </xf>
    <xf numFmtId="0" fontId="1" fillId="0" borderId="0" xfId="3" quotePrefix="1" applyAlignment="1" applyProtection="1">
      <alignment horizontal="left"/>
      <protection hidden="1"/>
    </xf>
    <xf numFmtId="0" fontId="44" fillId="0" borderId="0" xfId="2"/>
    <xf numFmtId="0" fontId="45" fillId="0" borderId="0" xfId="2" applyFont="1"/>
    <xf numFmtId="14" fontId="44" fillId="0" borderId="0" xfId="2" applyNumberFormat="1"/>
    <xf numFmtId="0" fontId="4" fillId="0" borderId="24" xfId="3" applyFont="1" applyBorder="1" applyAlignment="1" applyProtection="1">
      <alignment horizontal="center" vertical="center"/>
      <protection hidden="1"/>
    </xf>
    <xf numFmtId="49" fontId="9" fillId="2" borderId="32" xfId="3" applyNumberFormat="1" applyFont="1" applyFill="1" applyBorder="1" applyAlignment="1" applyProtection="1">
      <alignment horizontal="center" vertical="center"/>
      <protection locked="0"/>
    </xf>
    <xf numFmtId="49" fontId="10" fillId="2" borderId="33" xfId="3" applyNumberFormat="1" applyFont="1" applyFill="1" applyBorder="1" applyAlignment="1" applyProtection="1">
      <alignment horizontal="left" vertical="center"/>
      <protection locked="0"/>
    </xf>
    <xf numFmtId="4" fontId="46" fillId="8" borderId="48" xfId="0" applyNumberFormat="1" applyFont="1" applyFill="1" applyBorder="1" applyAlignment="1">
      <alignment horizontal="center" vertical="center"/>
    </xf>
    <xf numFmtId="0" fontId="43" fillId="0" borderId="0" xfId="0" applyFont="1"/>
    <xf numFmtId="0" fontId="43" fillId="0" borderId="49" xfId="0" applyFont="1" applyBorder="1"/>
    <xf numFmtId="0" fontId="43" fillId="0" borderId="50" xfId="0" applyFont="1" applyBorder="1"/>
    <xf numFmtId="0" fontId="43" fillId="0" borderId="51" xfId="0" applyFont="1" applyBorder="1"/>
    <xf numFmtId="0" fontId="43" fillId="0" borderId="52" xfId="0" applyFont="1" applyBorder="1"/>
    <xf numFmtId="4" fontId="11" fillId="0" borderId="33" xfId="3" applyNumberFormat="1" applyFont="1" applyBorder="1" applyAlignment="1" applyProtection="1">
      <alignment horizontal="center" vertical="center"/>
      <protection hidden="1"/>
    </xf>
    <xf numFmtId="0" fontId="2" fillId="2" borderId="2" xfId="3" applyFont="1" applyFill="1" applyBorder="1" applyAlignment="1" applyProtection="1">
      <alignment horizontal="center" vertical="center" wrapText="1"/>
      <protection locked="0"/>
    </xf>
    <xf numFmtId="0" fontId="1" fillId="2" borderId="0" xfId="3" applyFill="1" applyAlignment="1" applyProtection="1">
      <alignment horizontal="center"/>
      <protection locked="0"/>
    </xf>
    <xf numFmtId="0" fontId="3" fillId="2" borderId="7" xfId="3" applyFont="1" applyFill="1" applyBorder="1" applyAlignment="1" applyProtection="1">
      <alignment horizontal="center" vertical="center" wrapText="1"/>
      <protection locked="0"/>
    </xf>
    <xf numFmtId="49" fontId="7" fillId="2" borderId="47" xfId="3" applyNumberFormat="1" applyFont="1" applyFill="1" applyBorder="1" applyAlignment="1" applyProtection="1">
      <alignment horizontal="left" vertical="center" indent="1"/>
      <protection locked="0"/>
    </xf>
    <xf numFmtId="49" fontId="7" fillId="2" borderId="22" xfId="3" applyNumberFormat="1" applyFont="1" applyFill="1" applyBorder="1" applyAlignment="1" applyProtection="1">
      <alignment horizontal="left" vertical="center" indent="1"/>
      <protection locked="0"/>
    </xf>
    <xf numFmtId="49" fontId="7" fillId="2" borderId="22" xfId="3" applyNumberFormat="1" applyFont="1" applyFill="1" applyBorder="1" applyAlignment="1" applyProtection="1">
      <alignment horizontal="center" vertical="center"/>
      <protection locked="0"/>
    </xf>
    <xf numFmtId="165" fontId="8" fillId="2" borderId="27" xfId="3" applyNumberFormat="1" applyFont="1" applyFill="1" applyBorder="1" applyAlignment="1" applyProtection="1">
      <alignment horizontal="center" vertical="center"/>
      <protection locked="0"/>
    </xf>
    <xf numFmtId="0" fontId="18" fillId="0" borderId="42" xfId="3" applyFont="1" applyBorder="1" applyAlignment="1" applyProtection="1">
      <alignment horizontal="center" vertical="center" wrapText="1"/>
      <protection hidden="1"/>
    </xf>
    <xf numFmtId="0" fontId="16" fillId="0" borderId="24" xfId="3" applyFont="1" applyBorder="1" applyAlignment="1" applyProtection="1">
      <alignment horizontal="center" vertical="center"/>
      <protection hidden="1"/>
    </xf>
    <xf numFmtId="0" fontId="20" fillId="0" borderId="24" xfId="3" applyFont="1" applyBorder="1" applyAlignment="1" applyProtection="1">
      <alignment horizontal="center" vertical="center"/>
      <protection hidden="1"/>
    </xf>
    <xf numFmtId="4" fontId="12" fillId="2" borderId="33" xfId="3" applyNumberFormat="1" applyFont="1" applyFill="1" applyBorder="1" applyAlignment="1" applyProtection="1">
      <alignment horizontal="center" vertical="center"/>
      <protection locked="0"/>
    </xf>
    <xf numFmtId="0" fontId="7" fillId="2" borderId="43" xfId="3" applyFont="1" applyFill="1" applyBorder="1" applyAlignment="1" applyProtection="1">
      <alignment horizontal="center" vertical="center"/>
      <protection locked="0"/>
    </xf>
    <xf numFmtId="0" fontId="7" fillId="0" borderId="44" xfId="3" applyFont="1" applyBorder="1" applyAlignment="1" applyProtection="1">
      <alignment horizontal="center" vertical="center"/>
      <protection hidden="1"/>
    </xf>
    <xf numFmtId="4" fontId="8" fillId="0" borderId="34" xfId="3" applyNumberFormat="1" applyFont="1" applyBorder="1" applyAlignment="1" applyProtection="1">
      <alignment horizontal="center" vertical="center"/>
      <protection locked="0"/>
    </xf>
    <xf numFmtId="0" fontId="7" fillId="2" borderId="31" xfId="3" applyFont="1" applyFill="1" applyBorder="1" applyAlignment="1" applyProtection="1">
      <alignment horizontal="center" vertical="center"/>
      <protection locked="0"/>
    </xf>
    <xf numFmtId="0" fontId="17" fillId="0" borderId="46" xfId="3" applyFont="1" applyBorder="1" applyAlignment="1" applyProtection="1">
      <alignment horizontal="center" vertical="center"/>
      <protection hidden="1"/>
    </xf>
    <xf numFmtId="0" fontId="1" fillId="2" borderId="41" xfId="3" applyFill="1" applyBorder="1" applyAlignment="1" applyProtection="1">
      <alignment horizontal="left" vertical="center" shrinkToFit="1"/>
      <protection locked="0"/>
    </xf>
    <xf numFmtId="0" fontId="1" fillId="2" borderId="21" xfId="3" applyFill="1" applyBorder="1" applyAlignment="1" applyProtection="1">
      <alignment horizontal="center" vertical="center" shrinkToFit="1"/>
      <protection locked="0"/>
    </xf>
    <xf numFmtId="20" fontId="1" fillId="2" borderId="21" xfId="3" applyNumberFormat="1" applyFill="1" applyBorder="1" applyAlignment="1" applyProtection="1">
      <alignment horizontal="center" vertical="center"/>
      <protection locked="0"/>
    </xf>
    <xf numFmtId="4" fontId="1" fillId="0" borderId="21" xfId="3" applyNumberFormat="1" applyBorder="1" applyAlignment="1" applyProtection="1">
      <alignment horizontal="center" vertical="center"/>
      <protection hidden="1"/>
    </xf>
    <xf numFmtId="49" fontId="16" fillId="0" borderId="24" xfId="3" applyNumberFormat="1" applyFont="1" applyBorder="1" applyAlignment="1" applyProtection="1">
      <alignment horizontal="center" vertical="center"/>
      <protection hidden="1"/>
    </xf>
    <xf numFmtId="0" fontId="1" fillId="2" borderId="41" xfId="3" applyFill="1" applyBorder="1" applyAlignment="1" applyProtection="1">
      <alignment horizontal="center" vertical="center" shrinkToFit="1"/>
      <protection locked="0"/>
    </xf>
    <xf numFmtId="0" fontId="1" fillId="2" borderId="23" xfId="3" applyFill="1" applyBorder="1" applyAlignment="1" applyProtection="1">
      <alignment horizontal="center" vertical="center" shrinkToFit="1"/>
      <protection locked="0"/>
    </xf>
    <xf numFmtId="4" fontId="1" fillId="0" borderId="23" xfId="3" applyNumberFormat="1" applyBorder="1" applyAlignment="1" applyProtection="1">
      <alignment horizontal="center" vertical="center"/>
      <protection hidden="1"/>
    </xf>
    <xf numFmtId="0" fontId="15" fillId="0" borderId="45" xfId="3" applyFont="1" applyBorder="1" applyAlignment="1" applyProtection="1">
      <alignment horizontal="center" vertical="center" wrapText="1"/>
      <protection hidden="1"/>
    </xf>
    <xf numFmtId="0" fontId="16" fillId="0" borderId="10" xfId="3" applyFont="1" applyBorder="1" applyAlignment="1" applyProtection="1">
      <alignment horizontal="center" vertical="center" wrapText="1"/>
      <protection hidden="1"/>
    </xf>
    <xf numFmtId="0" fontId="16" fillId="0" borderId="46" xfId="3" applyFont="1" applyBorder="1" applyAlignment="1" applyProtection="1">
      <alignment horizontal="center" vertical="center"/>
      <protection hidden="1"/>
    </xf>
    <xf numFmtId="4" fontId="1" fillId="0" borderId="22" xfId="3" applyNumberFormat="1" applyBorder="1" applyAlignment="1" applyProtection="1">
      <alignment horizontal="center" vertical="center"/>
      <protection hidden="1"/>
    </xf>
    <xf numFmtId="49" fontId="25" fillId="2" borderId="11" xfId="3" applyNumberFormat="1" applyFont="1" applyFill="1" applyBorder="1" applyAlignment="1" applyProtection="1">
      <alignment horizontal="left" vertical="top" wrapText="1"/>
      <protection locked="0"/>
    </xf>
    <xf numFmtId="49" fontId="25" fillId="2" borderId="12" xfId="3" applyNumberFormat="1" applyFont="1" applyFill="1" applyBorder="1" applyAlignment="1" applyProtection="1">
      <alignment horizontal="left" vertical="top" wrapText="1"/>
      <protection locked="0"/>
    </xf>
    <xf numFmtId="49" fontId="25" fillId="2" borderId="17" xfId="3" applyNumberFormat="1" applyFont="1" applyFill="1" applyBorder="1" applyAlignment="1" applyProtection="1">
      <alignment horizontal="left" vertical="top" wrapText="1"/>
      <protection locked="0"/>
    </xf>
    <xf numFmtId="49" fontId="25" fillId="2" borderId="4" xfId="3" applyNumberFormat="1" applyFont="1" applyFill="1" applyBorder="1" applyAlignment="1" applyProtection="1">
      <alignment horizontal="left" vertical="top" wrapText="1"/>
      <protection locked="0"/>
    </xf>
    <xf numFmtId="49" fontId="25" fillId="2" borderId="0" xfId="3" applyNumberFormat="1" applyFont="1" applyFill="1" applyAlignment="1" applyProtection="1">
      <alignment horizontal="left" vertical="top" wrapText="1"/>
      <protection locked="0"/>
    </xf>
    <xf numFmtId="49" fontId="25" fillId="2" borderId="5" xfId="3" applyNumberFormat="1" applyFont="1" applyFill="1" applyBorder="1" applyAlignment="1" applyProtection="1">
      <alignment horizontal="left" vertical="top" wrapText="1"/>
      <protection locked="0"/>
    </xf>
    <xf numFmtId="49" fontId="25" fillId="2" borderId="6" xfId="3" applyNumberFormat="1" applyFont="1" applyFill="1" applyBorder="1" applyAlignment="1" applyProtection="1">
      <alignment horizontal="left" vertical="top" wrapText="1"/>
      <protection locked="0"/>
    </xf>
    <xf numFmtId="49" fontId="25" fillId="2" borderId="7" xfId="3" applyNumberFormat="1" applyFont="1" applyFill="1" applyBorder="1" applyAlignment="1" applyProtection="1">
      <alignment horizontal="left" vertical="top" wrapText="1"/>
      <protection locked="0"/>
    </xf>
    <xf numFmtId="49" fontId="25" fillId="2" borderId="8" xfId="3" applyNumberFormat="1" applyFont="1" applyFill="1" applyBorder="1" applyAlignment="1" applyProtection="1">
      <alignment horizontal="left" vertical="top" wrapText="1"/>
      <protection locked="0"/>
    </xf>
    <xf numFmtId="0" fontId="23" fillId="0" borderId="39" xfId="3" applyFont="1" applyBorder="1" applyAlignment="1" applyProtection="1">
      <alignment horizontal="left" vertical="center" wrapText="1"/>
      <protection locked="0"/>
    </xf>
    <xf numFmtId="1" fontId="7" fillId="0" borderId="38" xfId="3" applyNumberFormat="1" applyFont="1" applyBorder="1" applyAlignment="1" applyProtection="1">
      <alignment horizontal="left" indent="1"/>
      <protection hidden="1"/>
    </xf>
    <xf numFmtId="1" fontId="14" fillId="0" borderId="38" xfId="3" applyNumberFormat="1" applyFont="1" applyBorder="1" applyAlignment="1" applyProtection="1">
      <alignment horizontal="left" vertical="center" indent="1"/>
      <protection hidden="1"/>
    </xf>
    <xf numFmtId="1" fontId="23" fillId="0" borderId="35" xfId="3" applyNumberFormat="1" applyFont="1" applyBorder="1" applyAlignment="1" applyProtection="1">
      <alignment horizontal="left" vertical="center" indent="1"/>
      <protection hidden="1"/>
    </xf>
    <xf numFmtId="0" fontId="24" fillId="0" borderId="40" xfId="3" applyFont="1" applyBorder="1" applyAlignment="1" applyProtection="1">
      <alignment horizontal="left" vertical="top" wrapText="1"/>
      <protection hidden="1"/>
    </xf>
    <xf numFmtId="0" fontId="7" fillId="0" borderId="40" xfId="3" applyFont="1" applyBorder="1" applyAlignment="1" applyProtection="1">
      <alignment horizontal="center" vertical="center" wrapText="1"/>
      <protection hidden="1"/>
    </xf>
    <xf numFmtId="0" fontId="22" fillId="0" borderId="38" xfId="3" applyFont="1" applyBorder="1" applyAlignment="1">
      <alignment horizontal="center" vertical="center"/>
    </xf>
    <xf numFmtId="0" fontId="22" fillId="0" borderId="24" xfId="3" applyFont="1" applyBorder="1" applyAlignment="1">
      <alignment horizontal="center"/>
    </xf>
    <xf numFmtId="49" fontId="1" fillId="2" borderId="24" xfId="3" applyNumberFormat="1" applyFill="1" applyBorder="1" applyAlignment="1" applyProtection="1">
      <alignment horizontal="center"/>
      <protection locked="0"/>
    </xf>
    <xf numFmtId="49" fontId="1" fillId="2" borderId="24" xfId="3" applyNumberFormat="1" applyFill="1" applyBorder="1" applyAlignment="1" applyProtection="1">
      <alignment horizontal="center" vertical="center" shrinkToFit="1"/>
      <protection locked="0"/>
    </xf>
    <xf numFmtId="4" fontId="1" fillId="0" borderId="24" xfId="3" applyNumberFormat="1" applyBorder="1" applyAlignment="1" applyProtection="1">
      <alignment horizontal="left"/>
      <protection hidden="1"/>
    </xf>
    <xf numFmtId="0" fontId="4" fillId="0" borderId="28" xfId="3" applyFont="1" applyBorder="1" applyAlignment="1" applyProtection="1">
      <alignment horizontal="center" vertical="center" wrapText="1"/>
      <protection hidden="1"/>
    </xf>
    <xf numFmtId="49" fontId="4" fillId="0" borderId="24" xfId="3" applyNumberFormat="1" applyFont="1" applyBorder="1" applyAlignment="1" applyProtection="1">
      <alignment horizontal="center" vertical="center" wrapText="1"/>
      <protection hidden="1"/>
    </xf>
    <xf numFmtId="0" fontId="27" fillId="0" borderId="38" xfId="3" applyFont="1" applyBorder="1" applyAlignment="1" applyProtection="1">
      <alignment horizontal="center" vertical="center" wrapText="1"/>
      <protection hidden="1"/>
    </xf>
    <xf numFmtId="49" fontId="9" fillId="0" borderId="24" xfId="3" applyNumberFormat="1" applyFont="1" applyBorder="1" applyAlignment="1" applyProtection="1">
      <alignment horizontal="left" vertical="center" wrapText="1"/>
      <protection hidden="1"/>
    </xf>
    <xf numFmtId="4" fontId="25" fillId="0" borderId="24" xfId="3" applyNumberFormat="1" applyFont="1" applyBorder="1" applyAlignment="1" applyProtection="1">
      <alignment horizontal="right" vertical="center" wrapText="1"/>
      <protection hidden="1"/>
    </xf>
    <xf numFmtId="0" fontId="26" fillId="0" borderId="38" xfId="3" applyFont="1" applyBorder="1" applyAlignment="1" applyProtection="1">
      <alignment horizontal="center" vertical="center" wrapText="1"/>
      <protection hidden="1"/>
    </xf>
    <xf numFmtId="0" fontId="4" fillId="0" borderId="24" xfId="3" applyFont="1" applyBorder="1" applyAlignment="1" applyProtection="1">
      <alignment horizontal="center" vertical="center" wrapText="1"/>
      <protection hidden="1"/>
    </xf>
    <xf numFmtId="4" fontId="25" fillId="0" borderId="28" xfId="3" applyNumberFormat="1" applyFont="1" applyBorder="1" applyAlignment="1" applyProtection="1">
      <alignment horizontal="right" vertical="center" wrapText="1"/>
      <protection hidden="1"/>
    </xf>
    <xf numFmtId="0" fontId="27" fillId="0" borderId="38" xfId="3" applyFont="1" applyBorder="1" applyAlignment="1" applyProtection="1">
      <alignment horizontal="center" vertical="center"/>
      <protection hidden="1"/>
    </xf>
    <xf numFmtId="49" fontId="29" fillId="0" borderId="24" xfId="3" applyNumberFormat="1" applyFont="1" applyBorder="1" applyAlignment="1" applyProtection="1">
      <alignment horizontal="left" vertical="center" wrapText="1"/>
      <protection hidden="1"/>
    </xf>
    <xf numFmtId="14" fontId="9" fillId="2" borderId="37" xfId="3" applyNumberFormat="1" applyFont="1" applyFill="1" applyBorder="1" applyAlignment="1" applyProtection="1">
      <alignment horizontal="center"/>
      <protection locked="0"/>
    </xf>
    <xf numFmtId="14" fontId="9" fillId="0" borderId="21" xfId="3" applyNumberFormat="1" applyFont="1" applyBorder="1" applyAlignment="1" applyProtection="1">
      <alignment horizontal="center"/>
      <protection hidden="1"/>
    </xf>
    <xf numFmtId="165" fontId="32" fillId="0" borderId="15" xfId="3" applyNumberFormat="1" applyFont="1" applyBorder="1" applyAlignment="1" applyProtection="1">
      <alignment horizontal="left"/>
      <protection hidden="1"/>
    </xf>
    <xf numFmtId="49" fontId="33" fillId="0" borderId="24" xfId="3" applyNumberFormat="1" applyFont="1" applyBorder="1" applyAlignment="1" applyProtection="1">
      <alignment horizontal="left" vertical="center" wrapText="1"/>
      <protection hidden="1"/>
    </xf>
    <xf numFmtId="164" fontId="32" fillId="0" borderId="5" xfId="1" applyFont="1" applyFill="1" applyBorder="1" applyAlignment="1" applyProtection="1">
      <alignment horizontal="left"/>
      <protection hidden="1"/>
    </xf>
    <xf numFmtId="4" fontId="33" fillId="0" borderId="26" xfId="3" applyNumberFormat="1" applyFont="1" applyBorder="1" applyAlignment="1" applyProtection="1">
      <alignment horizontal="left" vertical="center" wrapText="1"/>
      <protection hidden="1"/>
    </xf>
    <xf numFmtId="14" fontId="9" fillId="0" borderId="36" xfId="3" applyNumberFormat="1" applyFont="1" applyBorder="1" applyAlignment="1" applyProtection="1">
      <alignment horizontal="center"/>
      <protection hidden="1"/>
    </xf>
    <xf numFmtId="4" fontId="25" fillId="0" borderId="31" xfId="3" applyNumberFormat="1" applyFont="1" applyBorder="1" applyAlignment="1" applyProtection="1">
      <alignment horizontal="right" vertical="center" wrapText="1"/>
      <protection hidden="1"/>
    </xf>
    <xf numFmtId="0" fontId="37" fillId="7" borderId="24" xfId="3" applyFont="1" applyFill="1" applyBorder="1" applyAlignment="1" applyProtection="1">
      <alignment horizontal="center" vertical="center" wrapText="1"/>
      <protection hidden="1"/>
    </xf>
    <xf numFmtId="4" fontId="25" fillId="0" borderId="29" xfId="3" applyNumberFormat="1" applyFont="1" applyBorder="1" applyAlignment="1" applyProtection="1">
      <alignment horizontal="right" vertical="center" wrapText="1"/>
      <protection hidden="1"/>
    </xf>
    <xf numFmtId="0" fontId="4" fillId="0" borderId="32" xfId="3" applyFont="1" applyBorder="1" applyAlignment="1" applyProtection="1">
      <alignment horizontal="center" vertical="top"/>
      <protection hidden="1"/>
    </xf>
    <xf numFmtId="0" fontId="4" fillId="0" borderId="33" xfId="3" applyFont="1" applyBorder="1" applyAlignment="1" applyProtection="1">
      <alignment horizontal="center" vertical="top"/>
      <protection hidden="1"/>
    </xf>
    <xf numFmtId="0" fontId="9" fillId="0" borderId="34" xfId="3" applyFont="1" applyBorder="1" applyAlignment="1" applyProtection="1">
      <alignment horizontal="center" vertical="top"/>
      <protection hidden="1"/>
    </xf>
    <xf numFmtId="0" fontId="36" fillId="5" borderId="24" xfId="3" applyFont="1" applyFill="1" applyBorder="1" applyAlignment="1" applyProtection="1">
      <alignment horizontal="center" vertical="center" wrapText="1"/>
      <protection hidden="1"/>
    </xf>
    <xf numFmtId="0" fontId="37" fillId="6" borderId="24" xfId="3" applyFont="1" applyFill="1" applyBorder="1" applyAlignment="1" applyProtection="1">
      <alignment horizontal="center" vertical="center" wrapText="1"/>
      <protection hidden="1"/>
    </xf>
    <xf numFmtId="0" fontId="27" fillId="0" borderId="35" xfId="3" applyFont="1" applyBorder="1" applyAlignment="1" applyProtection="1">
      <alignment horizontal="center" vertical="center"/>
      <protection hidden="1"/>
    </xf>
    <xf numFmtId="49" fontId="32" fillId="0" borderId="31" xfId="3" applyNumberFormat="1" applyFont="1" applyBorder="1" applyAlignment="1" applyProtection="1">
      <alignment horizontal="left" vertical="center" wrapText="1"/>
      <protection hidden="1"/>
    </xf>
    <xf numFmtId="0" fontId="42" fillId="0" borderId="0" xfId="2" applyFont="1" applyAlignment="1">
      <alignment horizontal="center" vertical="center"/>
    </xf>
    <xf numFmtId="0" fontId="42" fillId="0" borderId="0" xfId="2" applyFont="1" applyAlignment="1">
      <alignment horizontal="center"/>
    </xf>
  </cellXfs>
  <cellStyles count="4">
    <cellStyle name="Moeda_Diárias preenchimento automatico" xfId="1" xr:uid="{1EC7ED33-6D83-4595-BE0F-8B24B74AC603}"/>
    <cellStyle name="Normal" xfId="0" builtinId="0"/>
    <cellStyle name="Normal 2" xfId="2" xr:uid="{DF7B6CB9-227F-45B5-9A5D-8273C2EE5A25}"/>
    <cellStyle name="Normal_Diárias preenchimento automatico" xfId="3" xr:uid="{270F79C4-AC18-4C80-ACEB-DA6E6925076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calcChain" Target="calcChain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Verso!$A$15</c:f>
              <c:strCache>
                <c:ptCount val="1"/>
                <c:pt idx="0">
                  <c:v>PROTOCOLO "S" DO REQUERIMENTO:</c:v>
                </c:pt>
              </c:strCache>
            </c:strRef>
          </c:tx>
          <c:spPr>
            <a:solidFill>
              <a:srgbClr val="4472C4"/>
            </a:solidFill>
            <a:ln w="25400">
              <a:noFill/>
            </a:ln>
          </c:spPr>
          <c:invertIfNegative val="0"/>
          <c:val>
            <c:numRef>
              <c:f>Verso!$B$15:$O$15</c:f>
              <c:numCache>
                <c:formatCode>General</c:formatCode>
                <c:ptCount val="14"/>
              </c:numCache>
            </c:numRef>
          </c:val>
          <c:extLst>
            <c:ext xmlns:c16="http://schemas.microsoft.com/office/drawing/2014/chart" uri="{C3380CC4-5D6E-409C-BE32-E72D297353CC}">
              <c16:uniqueId val="{00000000-F3D2-4C01-90D0-C67202EFBE81}"/>
            </c:ext>
          </c:extLst>
        </c:ser>
        <c:ser>
          <c:idx val="1"/>
          <c:order val="1"/>
          <c:tx>
            <c:strRef>
              <c:f>Verso!$A$16</c:f>
              <c:strCache>
                <c:ptCount val="1"/>
                <c:pt idx="0">
                  <c:v>{{{protocolo_requerimento}}}</c:v>
                </c:pt>
              </c:strCache>
            </c:strRef>
          </c:tx>
          <c:spPr>
            <a:solidFill>
              <a:srgbClr val="ED7D31"/>
            </a:solidFill>
            <a:ln w="25400">
              <a:noFill/>
            </a:ln>
          </c:spPr>
          <c:invertIfNegative val="0"/>
          <c:val>
            <c:numRef>
              <c:f>Verso!$B$16:$O$16</c:f>
              <c:numCache>
                <c:formatCode>General</c:formatCode>
                <c:ptCount val="14"/>
              </c:numCache>
            </c:numRef>
          </c:val>
          <c:extLst>
            <c:ext xmlns:c16="http://schemas.microsoft.com/office/drawing/2014/chart" uri="{C3380CC4-5D6E-409C-BE32-E72D297353CC}">
              <c16:uniqueId val="{00000001-F3D2-4C01-90D0-C67202EFBE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84523216"/>
        <c:axId val="1"/>
      </c:barChart>
      <c:catAx>
        <c:axId val="684523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6350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84523216"/>
        <c:crosses val="autoZero"/>
        <c:crossBetween val="between"/>
      </c:valAx>
      <c:spPr>
        <a:noFill/>
        <a:ln w="25400">
          <a:noFill/>
        </a:ln>
      </c:spPr>
    </c:plotArea>
    <c:legend>
      <c:legendPos val="b"/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E5DA71E-D794-4D28-84DD-62DD38AC5A8D}">
  <sheetPr/>
  <sheetViews>
    <sheetView zoomScale="119" workbookViewId="0"/>
  </sheetViews>
  <pageMargins left="0.511811024" right="0.511811024" top="0.78740157499999996" bottom="0.78740157499999996" header="0.31496062000000002" footer="0.31496062000000002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200025</xdr:colOff>
      <xdr:row>1</xdr:row>
      <xdr:rowOff>57150</xdr:rowOff>
    </xdr:from>
    <xdr:to>
      <xdr:col>4</xdr:col>
      <xdr:colOff>104775</xdr:colOff>
      <xdr:row>4</xdr:row>
      <xdr:rowOff>171450</xdr:rowOff>
    </xdr:to>
    <xdr:pic>
      <xdr:nvPicPr>
        <xdr:cNvPr id="1659" name="Figura 2">
          <a:extLst>
            <a:ext uri="{FF2B5EF4-FFF2-40B4-BE49-F238E27FC236}">
              <a16:creationId xmlns:a16="http://schemas.microsoft.com/office/drawing/2014/main" id="{EA692938-C4D3-BF42-91DA-E6C045C784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5275" y="114300"/>
          <a:ext cx="657225" cy="657225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620250" cy="5981700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5F1E7FB-7DAC-DCE9-109F-75857AE6600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428625</xdr:colOff>
      <xdr:row>17</xdr:row>
      <xdr:rowOff>56515</xdr:rowOff>
    </xdr:from>
    <xdr:to>
      <xdr:col>3</xdr:col>
      <xdr:colOff>219710</xdr:colOff>
      <xdr:row>26</xdr:row>
      <xdr:rowOff>104775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BFDE0E35-93A7-9866-B8F8-C17C4B790770}"/>
            </a:ext>
          </a:extLst>
        </xdr:cNvPr>
        <xdr:cNvSpPr txBox="1"/>
      </xdr:nvSpPr>
      <xdr:spPr>
        <a:xfrm>
          <a:off x="428625" y="4342765"/>
          <a:ext cx="1619885" cy="1505585"/>
        </a:xfrm>
        <a:prstGeom prst="rect">
          <a:avLst/>
        </a:prstGeom>
        <a:noFill/>
        <a:ln w="9360" cap="sq" cmpd="sng">
          <a:solidFill>
            <a:srgbClr val="000000">
              <a:alpha val="100000"/>
            </a:srgbClr>
          </a:solidFill>
          <a:prstDash val="solid"/>
          <a:miter/>
          <a:headEnd type="none" w="med" len="med"/>
          <a:tailEnd type="none" w="med" len="med"/>
        </a:ln>
      </xdr:spPr>
      <xdr:txBody>
        <a:bodyPr vertOverflow="clip" vert="horz" wrap="square" lIns="20160" tIns="20160" rIns="20160" bIns="20160" anchor="ctr" anchorCtr="0"/>
        <a:lstStyle/>
        <a:p>
          <a:pPr algn="ctr" rtl="0"/>
          <a:r>
            <a:rPr lang="pt-BR" altLang="zh-CN" sz="1000" b="1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Arial Narrow" charset="0"/>
              <a:ea typeface="Arial Narrow" charset="0"/>
              <a:cs typeface="Arial Narrow" charset="0"/>
              <a:sym typeface="Arial Narrow" charset="0"/>
            </a:rPr>
            <a:t>{{{delegacia2}}}</a:t>
          </a:r>
          <a:endParaRPr lang="zh-CN" altLang="en-US" sz="1000" b="1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latin typeface="Arial" pitchFamily="7" charset="0"/>
            <a:ea typeface="Arial" pitchFamily="7" charset="0"/>
            <a:cs typeface="Arial" pitchFamily="7" charset="0"/>
            <a:sym typeface="Arial" pitchFamily="7" charset="0"/>
          </a:endParaRPr>
        </a:p>
        <a:p>
          <a:pPr algn="ctr" rtl="0"/>
          <a:r>
            <a:rPr lang="pt-BR" altLang="zh-CN" sz="1300" u="sng" baseline="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Arial" pitchFamily="7" charset="0"/>
              <a:ea typeface="Arial" pitchFamily="7" charset="0"/>
              <a:cs typeface="Arial" pitchFamily="7" charset="0"/>
              <a:sym typeface="Arial" pitchFamily="7" charset="0"/>
            </a:rPr>
            <a:t>{{{data_protocolo}}}</a:t>
          </a:r>
          <a:endParaRPr lang="x-none" altLang="zh-CN" sz="1300" u="sng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latin typeface="Arial" pitchFamily="7" charset="0"/>
            <a:ea typeface="Arial" pitchFamily="7" charset="0"/>
            <a:cs typeface="Arial" pitchFamily="7" charset="0"/>
            <a:sym typeface="Arial" pitchFamily="7" charset="0"/>
          </a:endParaRPr>
        </a:p>
        <a:p>
          <a:pPr algn="ctr" rtl="0"/>
          <a:endParaRPr lang="zh-CN" altLang="en-US" sz="700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latin typeface="Arial" pitchFamily="7" charset="0"/>
            <a:ea typeface="Arial" pitchFamily="7" charset="0"/>
            <a:cs typeface="Arial" pitchFamily="7" charset="0"/>
            <a:sym typeface="Arial" pitchFamily="7" charset="0"/>
          </a:endParaRPr>
        </a:p>
        <a:p>
          <a:pPr algn="ctr" rtl="0"/>
          <a:r>
            <a:rPr lang="zh-CN" altLang="en-US" sz="12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Arial Narrow" charset="0"/>
              <a:ea typeface="Arial Narrow" charset="0"/>
              <a:cs typeface="Arial Narrow" charset="0"/>
              <a:sym typeface="Arial Narrow" charset="0"/>
            </a:rPr>
            <a:t>Prot. S.</a:t>
          </a:r>
          <a:r>
            <a:rPr lang="zh-CN" altLang="en-US" sz="13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Arial Narrow" charset="0"/>
              <a:ea typeface="Arial Narrow" charset="0"/>
              <a:cs typeface="Arial Narrow" charset="0"/>
              <a:sym typeface="Arial Narrow" charset="0"/>
            </a:rPr>
            <a:t> </a:t>
          </a:r>
          <a:r>
            <a:rPr lang="pt-BR" altLang="zh-CN" sz="1300" u="sng" baseline="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Arial" pitchFamily="7" charset="0"/>
              <a:ea typeface="Arial Narrow" charset="0"/>
              <a:cs typeface="Arial" pitchFamily="7" charset="0"/>
              <a:sym typeface="Arial" pitchFamily="7" charset="0"/>
            </a:rPr>
            <a:t>{{{protocolo_mapa}}}</a:t>
          </a:r>
          <a:endParaRPr lang="zh-CN" altLang="en-US" sz="400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latin typeface="Arial Narrow" charset="0"/>
            <a:ea typeface="Arial Narrow" charset="0"/>
            <a:cs typeface="Arial Narrow" charset="0"/>
            <a:sym typeface="Arial Narrow" charset="0"/>
          </a:endParaRPr>
        </a:p>
        <a:p>
          <a:pPr algn="ctr" rtl="0"/>
          <a:endParaRPr lang="pt-BR" altLang="zh-CN" sz="1000" b="1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latin typeface="Arial Narrow" charset="0"/>
            <a:ea typeface="Arial Narrow" charset="0"/>
            <a:cs typeface="Arial Narrow" charset="0"/>
            <a:sym typeface="Arial Narrow" charset="0"/>
          </a:endParaRPr>
        </a:p>
        <a:p>
          <a:pPr algn="ctr" rtl="0"/>
          <a:r>
            <a:rPr lang="zh-CN" altLang="en-US" sz="1000" b="1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Arial Narrow" charset="0"/>
              <a:ea typeface="Arial Narrow" charset="0"/>
              <a:cs typeface="Arial Narrow" charset="0"/>
              <a:sym typeface="Arial Narrow" charset="0"/>
            </a:rPr>
            <a:t>_______________</a:t>
          </a:r>
        </a:p>
        <a:p>
          <a:pPr algn="ctr" rtl="0"/>
          <a:r>
            <a:rPr lang="zh-CN" altLang="en-US" sz="1000" b="1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Arial Narrow" charset="0"/>
              <a:ea typeface="Arial Narrow" charset="0"/>
              <a:cs typeface="Arial Narrow" charset="0"/>
              <a:sym typeface="Arial Narrow" charset="0"/>
            </a:rPr>
            <a:t>RESPONSÁVEL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51C20-4C5F-4DF2-A904-9C67A6C7D8E0}">
  <sheetPr codeName="Plan1">
    <pageSetUpPr fitToPage="1"/>
  </sheetPr>
  <dimension ref="A1:BW152"/>
  <sheetViews>
    <sheetView showGridLines="0" showZeros="0" defaultGridColor="0" topLeftCell="A4" colorId="8" zoomScaleNormal="100" workbookViewId="0">
      <selection activeCell="AC8" sqref="AC8:AE8"/>
    </sheetView>
  </sheetViews>
  <sheetFormatPr defaultColWidth="11.140625" defaultRowHeight="12.75" x14ac:dyDescent="0.2"/>
  <cols>
    <col min="1" max="1" width="1.42578125" style="1" customWidth="1"/>
    <col min="2" max="2" width="4.42578125" style="1" customWidth="1"/>
    <col min="3" max="3" width="2.42578125" style="1" customWidth="1"/>
    <col min="4" max="4" width="4.42578125" style="1" customWidth="1"/>
    <col min="5" max="5" width="6.140625" style="1" customWidth="1"/>
    <col min="6" max="6" width="12.7109375" style="1" bestFit="1" customWidth="1"/>
    <col min="7" max="7" width="5.42578125" style="1" customWidth="1"/>
    <col min="8" max="10" width="4.140625" style="1" customWidth="1"/>
    <col min="11" max="11" width="7.7109375" style="1" customWidth="1"/>
    <col min="12" max="12" width="4.140625" style="1" customWidth="1"/>
    <col min="13" max="15" width="3" style="1" customWidth="1"/>
    <col min="16" max="16" width="4.140625" style="1" customWidth="1"/>
    <col min="17" max="17" width="9" style="1" bestFit="1" customWidth="1"/>
    <col min="18" max="18" width="4.140625" style="1" customWidth="1"/>
    <col min="19" max="19" width="9.42578125" style="1" customWidth="1"/>
    <col min="20" max="20" width="4.140625" style="1" customWidth="1"/>
    <col min="21" max="21" width="4.7109375" style="1" customWidth="1"/>
    <col min="22" max="24" width="4.140625" style="1" customWidth="1"/>
    <col min="25" max="25" width="4.28515625" style="1" customWidth="1"/>
    <col min="26" max="26" width="4.140625" style="1" customWidth="1"/>
    <col min="27" max="27" width="3.5703125" style="1" customWidth="1"/>
    <col min="28" max="28" width="7.42578125" style="1" customWidth="1"/>
    <col min="29" max="29" width="7.28515625" style="1" bestFit="1" customWidth="1"/>
    <col min="30" max="30" width="8.140625" style="1" customWidth="1"/>
    <col min="31" max="31" width="11" style="1" customWidth="1"/>
    <col min="32" max="32" width="7.140625" style="1" hidden="1" customWidth="1"/>
    <col min="33" max="33" width="10.42578125" style="1" hidden="1" customWidth="1"/>
    <col min="34" max="34" width="11.140625" style="1" hidden="1" customWidth="1"/>
    <col min="35" max="35" width="8.140625" style="1" hidden="1" customWidth="1"/>
    <col min="36" max="36" width="25.5703125" style="1" hidden="1" customWidth="1"/>
    <col min="37" max="39" width="11.140625" style="1" hidden="1" customWidth="1"/>
    <col min="40" max="40" width="15.140625" style="1" hidden="1" customWidth="1"/>
    <col min="41" max="41" width="17.42578125" style="1" hidden="1" customWidth="1"/>
    <col min="42" max="43" width="12.42578125" style="1" hidden="1" customWidth="1"/>
    <col min="44" max="52" width="11.42578125" style="1" hidden="1" customWidth="1"/>
    <col min="53" max="53" width="11.140625" style="1"/>
    <col min="54" max="55" width="11.42578125" style="1" customWidth="1"/>
    <col min="56" max="56" width="7.140625" style="1" customWidth="1"/>
    <col min="57" max="57" width="17.42578125" style="1" customWidth="1"/>
    <col min="58" max="58" width="16.5703125" style="1" customWidth="1"/>
    <col min="59" max="16384" width="11.140625" style="1"/>
  </cols>
  <sheetData>
    <row r="1" spans="1:38" ht="5.0999999999999996" customHeight="1" x14ac:dyDescent="0.2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 spans="1:38" ht="15.75" customHeight="1" x14ac:dyDescent="0.2">
      <c r="A2" s="2"/>
      <c r="B2" s="3"/>
      <c r="C2" s="4"/>
      <c r="D2" s="4"/>
      <c r="E2" s="4"/>
      <c r="F2" s="196" t="s">
        <v>0</v>
      </c>
      <c r="G2" s="196"/>
      <c r="H2" s="196"/>
      <c r="I2" s="196"/>
      <c r="J2" s="196"/>
      <c r="K2" s="196"/>
      <c r="L2" s="196"/>
      <c r="M2" s="196"/>
      <c r="N2" s="196"/>
      <c r="O2" s="196"/>
      <c r="P2" s="196"/>
      <c r="Q2" s="196"/>
      <c r="R2" s="196"/>
      <c r="S2" s="196"/>
      <c r="T2" s="196"/>
      <c r="U2" s="196"/>
      <c r="V2" s="196"/>
      <c r="W2" s="196"/>
      <c r="X2" s="196"/>
      <c r="Y2" s="196"/>
      <c r="Z2" s="196"/>
      <c r="AA2" s="196"/>
      <c r="AB2" s="196"/>
      <c r="AC2" s="196"/>
      <c r="AD2" s="196"/>
      <c r="AE2" s="5"/>
      <c r="AF2" s="6"/>
      <c r="AG2" s="6"/>
    </row>
    <row r="3" spans="1:38" ht="12.75" customHeight="1" x14ac:dyDescent="0.2">
      <c r="A3" s="2"/>
      <c r="B3" s="7"/>
      <c r="F3" s="197" t="s">
        <v>1</v>
      </c>
      <c r="G3" s="197"/>
      <c r="H3" s="197"/>
      <c r="I3" s="197"/>
      <c r="J3" s="197"/>
      <c r="K3" s="197"/>
      <c r="L3" s="197"/>
      <c r="M3" s="197"/>
      <c r="N3" s="197"/>
      <c r="O3" s="197"/>
      <c r="P3" s="197"/>
      <c r="Q3" s="197"/>
      <c r="R3" s="197"/>
      <c r="S3" s="197"/>
      <c r="T3" s="197"/>
      <c r="U3" s="197"/>
      <c r="V3" s="197"/>
      <c r="W3" s="197"/>
      <c r="X3" s="197"/>
      <c r="Y3" s="197"/>
      <c r="Z3" s="197"/>
      <c r="AA3" s="197"/>
      <c r="AB3" s="197"/>
      <c r="AC3" s="197"/>
      <c r="AD3" s="197"/>
      <c r="AE3" s="8"/>
      <c r="AF3" s="6"/>
      <c r="AG3" s="6"/>
    </row>
    <row r="4" spans="1:38" ht="14.25" customHeight="1" x14ac:dyDescent="0.2">
      <c r="A4" s="2"/>
      <c r="B4" s="7"/>
      <c r="F4" s="197" t="s">
        <v>2</v>
      </c>
      <c r="G4" s="197"/>
      <c r="H4" s="197"/>
      <c r="I4" s="197"/>
      <c r="J4" s="197"/>
      <c r="K4" s="197"/>
      <c r="L4" s="197"/>
      <c r="M4" s="197"/>
      <c r="N4" s="197"/>
      <c r="O4" s="197"/>
      <c r="P4" s="197"/>
      <c r="Q4" s="197"/>
      <c r="R4" s="197"/>
      <c r="S4" s="197"/>
      <c r="T4" s="197"/>
      <c r="U4" s="197"/>
      <c r="V4" s="197"/>
      <c r="W4" s="197"/>
      <c r="X4" s="197"/>
      <c r="Y4" s="197"/>
      <c r="Z4" s="197"/>
      <c r="AA4" s="197"/>
      <c r="AB4" s="197"/>
      <c r="AC4" s="197"/>
      <c r="AD4" s="197"/>
      <c r="AE4" s="8"/>
      <c r="AF4" s="6"/>
      <c r="AG4" s="6"/>
    </row>
    <row r="5" spans="1:38" ht="18" customHeight="1" x14ac:dyDescent="0.2">
      <c r="A5" s="2"/>
      <c r="B5" s="9"/>
      <c r="C5" s="10"/>
      <c r="D5" s="10"/>
      <c r="E5" s="10"/>
      <c r="F5" s="198" t="s">
        <v>3</v>
      </c>
      <c r="G5" s="198"/>
      <c r="H5" s="198"/>
      <c r="I5" s="198"/>
      <c r="J5" s="198"/>
      <c r="K5" s="198"/>
      <c r="L5" s="198"/>
      <c r="M5" s="198"/>
      <c r="N5" s="198"/>
      <c r="O5" s="198"/>
      <c r="P5" s="198"/>
      <c r="Q5" s="198"/>
      <c r="R5" s="198"/>
      <c r="S5" s="198"/>
      <c r="T5" s="198"/>
      <c r="U5" s="198"/>
      <c r="V5" s="198"/>
      <c r="W5" s="198"/>
      <c r="X5" s="198"/>
      <c r="Y5" s="198"/>
      <c r="Z5" s="198"/>
      <c r="AA5" s="198"/>
      <c r="AB5" s="198"/>
      <c r="AC5" s="198"/>
      <c r="AD5" s="198"/>
      <c r="AE5" s="11"/>
      <c r="AF5" s="6"/>
      <c r="AG5" s="6"/>
    </row>
    <row r="6" spans="1:38" ht="7.5" customHeight="1" x14ac:dyDescent="0.2">
      <c r="A6" s="2"/>
      <c r="AF6" s="6"/>
      <c r="AG6" s="6"/>
    </row>
    <row r="7" spans="1:38" s="20" customFormat="1" ht="8.25" customHeight="1" x14ac:dyDescent="0.2">
      <c r="A7" s="2"/>
      <c r="B7" s="12" t="s">
        <v>4</v>
      </c>
      <c r="C7" s="13"/>
      <c r="D7" s="13"/>
      <c r="E7" s="14"/>
      <c r="F7" s="14"/>
      <c r="G7" s="14"/>
      <c r="H7" s="14"/>
      <c r="I7" s="14"/>
      <c r="J7" s="14"/>
      <c r="K7" s="14"/>
      <c r="L7" s="14"/>
      <c r="M7" s="14"/>
      <c r="N7" s="15" t="s">
        <v>5</v>
      </c>
      <c r="O7" s="13"/>
      <c r="P7" s="13"/>
      <c r="Q7" s="14"/>
      <c r="R7" s="14"/>
      <c r="S7" s="14"/>
      <c r="T7" s="12" t="s">
        <v>6</v>
      </c>
      <c r="U7" s="16"/>
      <c r="V7" s="14"/>
      <c r="W7" s="16"/>
      <c r="X7" s="13"/>
      <c r="Y7" s="14"/>
      <c r="Z7" s="14"/>
      <c r="AA7" s="14"/>
      <c r="AB7" s="17"/>
      <c r="AC7" s="18" t="s">
        <v>7</v>
      </c>
      <c r="AD7" s="14"/>
      <c r="AE7" s="19"/>
      <c r="AF7" s="6"/>
      <c r="AG7" s="6"/>
    </row>
    <row r="8" spans="1:38" ht="17.100000000000001" customHeight="1" x14ac:dyDescent="0.2">
      <c r="A8" s="2"/>
      <c r="B8" s="199" t="s">
        <v>168</v>
      </c>
      <c r="C8" s="199"/>
      <c r="D8" s="199"/>
      <c r="E8" s="199"/>
      <c r="F8" s="199"/>
      <c r="G8" s="199"/>
      <c r="H8" s="199"/>
      <c r="I8" s="199"/>
      <c r="J8" s="199"/>
      <c r="K8" s="199"/>
      <c r="L8" s="199"/>
      <c r="M8" s="199"/>
      <c r="N8" s="200" t="s">
        <v>164</v>
      </c>
      <c r="O8" s="200"/>
      <c r="P8" s="200"/>
      <c r="Q8" s="200"/>
      <c r="R8" s="200"/>
      <c r="S8" s="200"/>
      <c r="T8" s="201" t="s">
        <v>167</v>
      </c>
      <c r="U8" s="201"/>
      <c r="V8" s="201"/>
      <c r="W8" s="201"/>
      <c r="X8" s="201"/>
      <c r="Y8" s="201"/>
      <c r="Z8" s="201"/>
      <c r="AA8" s="201"/>
      <c r="AB8" s="201"/>
      <c r="AC8" s="202">
        <v>46387</v>
      </c>
      <c r="AD8" s="202"/>
      <c r="AE8" s="202"/>
      <c r="AF8" s="6"/>
      <c r="AG8" s="6"/>
      <c r="AH8" s="21"/>
    </row>
    <row r="9" spans="1:38" s="20" customFormat="1" ht="9.9499999999999993" customHeight="1" x14ac:dyDescent="0.2">
      <c r="A9" s="2"/>
      <c r="B9" s="22" t="s">
        <v>8</v>
      </c>
      <c r="C9" s="23"/>
      <c r="D9" s="24"/>
      <c r="E9" s="25" t="s">
        <v>9</v>
      </c>
      <c r="F9" s="23"/>
      <c r="G9" s="23"/>
      <c r="H9" s="23"/>
      <c r="I9" s="23"/>
      <c r="J9" s="23"/>
      <c r="K9" s="25" t="s">
        <v>10</v>
      </c>
      <c r="L9" s="23"/>
      <c r="M9" s="26"/>
      <c r="N9" s="27" t="s">
        <v>11</v>
      </c>
      <c r="O9" s="28"/>
      <c r="P9" s="29"/>
      <c r="Q9" s="29"/>
      <c r="R9" s="26"/>
      <c r="S9" s="186" t="s">
        <v>12</v>
      </c>
      <c r="T9" s="186"/>
      <c r="U9" s="186"/>
      <c r="V9" s="30" t="s">
        <v>13</v>
      </c>
      <c r="X9" s="31"/>
      <c r="Y9" s="31"/>
      <c r="Z9" s="30" t="s">
        <v>14</v>
      </c>
      <c r="AB9" s="32"/>
      <c r="AC9" s="27" t="s">
        <v>15</v>
      </c>
      <c r="AD9" s="28"/>
      <c r="AE9" s="33"/>
      <c r="AF9" s="6"/>
      <c r="AG9" s="6"/>
    </row>
    <row r="10" spans="1:38" s="20" customFormat="1" ht="8.4499999999999993" customHeight="1" thickBot="1" x14ac:dyDescent="0.25">
      <c r="A10" s="2"/>
      <c r="B10" s="187" t="s">
        <v>165</v>
      </c>
      <c r="C10" s="187"/>
      <c r="D10" s="187"/>
      <c r="E10" s="188" t="s">
        <v>169</v>
      </c>
      <c r="F10" s="188"/>
      <c r="G10" s="188"/>
      <c r="H10" s="188"/>
      <c r="I10" s="188"/>
      <c r="J10" s="188"/>
      <c r="K10" s="189">
        <v>1234.56</v>
      </c>
      <c r="L10" s="190"/>
      <c r="M10" s="191"/>
      <c r="N10" s="195">
        <f>+K10/2</f>
        <v>617.28</v>
      </c>
      <c r="O10" s="195"/>
      <c r="P10" s="195"/>
      <c r="Q10" s="195"/>
      <c r="R10" s="195"/>
      <c r="S10" s="34" t="s">
        <v>16</v>
      </c>
      <c r="T10" s="186" t="s">
        <v>17</v>
      </c>
      <c r="U10" s="186"/>
      <c r="V10" s="206">
        <v>12.34</v>
      </c>
      <c r="W10" s="206"/>
      <c r="X10" s="206"/>
      <c r="Y10" s="206"/>
      <c r="Z10" s="207">
        <v>7</v>
      </c>
      <c r="AA10" s="208" t="s">
        <v>18</v>
      </c>
      <c r="AB10" s="208"/>
      <c r="AC10" s="209">
        <f>+Z10*V10</f>
        <v>86.38</v>
      </c>
      <c r="AD10" s="209"/>
      <c r="AE10" s="209"/>
      <c r="AF10" s="6"/>
      <c r="AG10" s="6"/>
    </row>
    <row r="11" spans="1:38" ht="11.1" customHeight="1" thickTop="1" thickBot="1" x14ac:dyDescent="0.25">
      <c r="A11" s="2"/>
      <c r="B11" s="187"/>
      <c r="C11" s="187"/>
      <c r="D11" s="187"/>
      <c r="E11" s="188"/>
      <c r="F11" s="188"/>
      <c r="G11" s="188"/>
      <c r="H11" s="188"/>
      <c r="I11" s="188"/>
      <c r="J11" s="188"/>
      <c r="K11" s="192"/>
      <c r="L11" s="193"/>
      <c r="M11" s="194"/>
      <c r="N11" s="195"/>
      <c r="O11" s="195"/>
      <c r="P11" s="195"/>
      <c r="Q11" s="195"/>
      <c r="R11" s="195"/>
      <c r="S11" s="35"/>
      <c r="T11" s="210" t="s">
        <v>19</v>
      </c>
      <c r="U11" s="210"/>
      <c r="V11" s="206"/>
      <c r="W11" s="206"/>
      <c r="X11" s="206"/>
      <c r="Y11" s="206"/>
      <c r="Z11" s="207"/>
      <c r="AA11" s="208"/>
      <c r="AB11" s="208"/>
      <c r="AC11" s="209"/>
      <c r="AD11" s="209"/>
      <c r="AE11" s="209"/>
      <c r="AF11" s="6"/>
      <c r="AG11" s="6"/>
    </row>
    <row r="12" spans="1:38" ht="7.5" customHeight="1" thickTop="1" thickBot="1" x14ac:dyDescent="0.25">
      <c r="A12" s="36"/>
      <c r="B12" s="37"/>
      <c r="C12" s="38"/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9"/>
      <c r="P12" s="40"/>
      <c r="Q12" s="41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6"/>
      <c r="AG12" s="6"/>
      <c r="AH12" s="2"/>
    </row>
    <row r="13" spans="1:38" s="45" customFormat="1" ht="12" customHeight="1" x14ac:dyDescent="0.2">
      <c r="A13" s="2"/>
      <c r="B13" s="220" t="s">
        <v>20</v>
      </c>
      <c r="C13" s="220"/>
      <c r="D13" s="220"/>
      <c r="E13" s="220"/>
      <c r="F13" s="43" t="s">
        <v>21</v>
      </c>
      <c r="G13" s="221" t="s">
        <v>22</v>
      </c>
      <c r="H13" s="221"/>
      <c r="I13" s="221"/>
      <c r="J13" s="222" t="s">
        <v>23</v>
      </c>
      <c r="K13" s="222"/>
      <c r="L13" s="222" t="s">
        <v>24</v>
      </c>
      <c r="M13" s="222"/>
      <c r="N13" s="222"/>
      <c r="O13" s="222"/>
      <c r="P13" s="211" t="s">
        <v>25</v>
      </c>
      <c r="Q13" s="211"/>
      <c r="R13" s="211"/>
      <c r="S13" s="211"/>
      <c r="T13" s="211"/>
      <c r="U13" s="211"/>
      <c r="V13" s="211"/>
      <c r="W13" s="211"/>
      <c r="X13" s="211"/>
      <c r="Y13" s="211"/>
      <c r="Z13" s="211"/>
      <c r="AA13" s="211"/>
      <c r="AB13" s="211"/>
      <c r="AC13" s="211"/>
      <c r="AD13" s="211"/>
      <c r="AE13" s="203" t="s">
        <v>26</v>
      </c>
      <c r="AF13" s="6"/>
      <c r="AG13" s="6"/>
      <c r="AH13" s="44"/>
    </row>
    <row r="14" spans="1:38" s="45" customFormat="1" ht="12" customHeight="1" x14ac:dyDescent="0.2">
      <c r="A14" s="2"/>
      <c r="B14" s="220"/>
      <c r="C14" s="220"/>
      <c r="D14" s="220"/>
      <c r="E14" s="220"/>
      <c r="F14" s="46" t="s">
        <v>27</v>
      </c>
      <c r="G14" s="221"/>
      <c r="H14" s="221"/>
      <c r="I14" s="221"/>
      <c r="J14" s="222"/>
      <c r="K14" s="222"/>
      <c r="L14" s="222"/>
      <c r="M14" s="222"/>
      <c r="N14" s="222"/>
      <c r="O14" s="222"/>
      <c r="P14" s="204" t="s">
        <v>28</v>
      </c>
      <c r="Q14" s="204" t="s">
        <v>29</v>
      </c>
      <c r="R14" s="204" t="s">
        <v>30</v>
      </c>
      <c r="S14" s="204"/>
      <c r="T14" s="204"/>
      <c r="U14" s="204"/>
      <c r="V14" s="204"/>
      <c r="W14" s="204" t="s">
        <v>31</v>
      </c>
      <c r="X14" s="204"/>
      <c r="Y14" s="204"/>
      <c r="Z14" s="204"/>
      <c r="AA14" s="204"/>
      <c r="AB14" s="204"/>
      <c r="AC14" s="204" t="s">
        <v>28</v>
      </c>
      <c r="AD14" s="205" t="s">
        <v>32</v>
      </c>
      <c r="AE14" s="203"/>
      <c r="AF14" s="6"/>
      <c r="AG14" s="6"/>
      <c r="AH14" s="47"/>
    </row>
    <row r="15" spans="1:38" s="57" customFormat="1" ht="12" customHeight="1" x14ac:dyDescent="0.2">
      <c r="A15" s="48"/>
      <c r="B15" s="220"/>
      <c r="C15" s="220"/>
      <c r="D15" s="220"/>
      <c r="E15" s="220"/>
      <c r="F15" s="49" t="s">
        <v>31</v>
      </c>
      <c r="G15" s="221"/>
      <c r="H15" s="221"/>
      <c r="I15" s="221"/>
      <c r="J15" s="52" t="s">
        <v>33</v>
      </c>
      <c r="K15" s="50" t="s">
        <v>34</v>
      </c>
      <c r="L15" s="51" t="s">
        <v>33</v>
      </c>
      <c r="M15" s="216" t="s">
        <v>34</v>
      </c>
      <c r="N15" s="216"/>
      <c r="O15" s="216"/>
      <c r="P15" s="204"/>
      <c r="Q15" s="204"/>
      <c r="R15" s="52" t="s">
        <v>28</v>
      </c>
      <c r="S15" s="52" t="s">
        <v>35</v>
      </c>
      <c r="T15" s="52" t="s">
        <v>28</v>
      </c>
      <c r="U15" s="216" t="s">
        <v>36</v>
      </c>
      <c r="V15" s="216"/>
      <c r="W15" s="52" t="s">
        <v>28</v>
      </c>
      <c r="X15" s="216" t="s">
        <v>37</v>
      </c>
      <c r="Y15" s="216"/>
      <c r="Z15" s="52" t="s">
        <v>28</v>
      </c>
      <c r="AA15" s="216" t="s">
        <v>38</v>
      </c>
      <c r="AB15" s="216"/>
      <c r="AC15" s="204"/>
      <c r="AD15" s="205"/>
      <c r="AE15" s="203"/>
      <c r="AF15" s="53"/>
      <c r="AG15" s="53"/>
      <c r="AH15" s="54"/>
      <c r="AI15" s="55"/>
      <c r="AJ15" s="55"/>
      <c r="AK15" s="56"/>
      <c r="AL15" s="56"/>
    </row>
    <row r="16" spans="1:38" s="38" customFormat="1" x14ac:dyDescent="0.2">
      <c r="A16" s="2"/>
      <c r="B16" s="217" t="s">
        <v>174</v>
      </c>
      <c r="C16" s="217"/>
      <c r="D16" s="217"/>
      <c r="E16" s="217"/>
      <c r="F16" s="58">
        <v>5</v>
      </c>
      <c r="G16" s="218" t="s">
        <v>170</v>
      </c>
      <c r="H16" s="218"/>
      <c r="I16" s="218"/>
      <c r="J16" s="59">
        <v>4</v>
      </c>
      <c r="K16" s="60">
        <v>5.8159722222222203E-2</v>
      </c>
      <c r="L16" s="61" t="s">
        <v>171</v>
      </c>
      <c r="M16" s="214">
        <v>0.52425925925925898</v>
      </c>
      <c r="N16" s="214"/>
      <c r="O16" s="214"/>
      <c r="P16" s="62"/>
      <c r="Q16" s="63">
        <f t="shared" ref="Q16:Q27" si="0">IF(P16="",0,VLOOKUP(F16,AN$107:AZ$111,3,FALSE)*P16)</f>
        <v>0</v>
      </c>
      <c r="R16" s="61"/>
      <c r="S16" s="63">
        <f t="shared" ref="S16:S27" si="1">IF(R16="",0,VLOOKUP(F16,AN$107:AZ$111,5,FALSE)*R16)</f>
        <v>0</v>
      </c>
      <c r="T16" s="61"/>
      <c r="U16" s="219">
        <f t="shared" ref="U16:U27" si="2">IF(T16="",0,VLOOKUP(F16,AN$107:AZ$111,7,FALSE)*T16)</f>
        <v>0</v>
      </c>
      <c r="V16" s="219" t="e">
        <f t="shared" ref="V16:V27" si="3">IF(U16="",0,VLOOKUP(J$16,AT$107:AV$111,3,FALSE)*U16)</f>
        <v>#N/A</v>
      </c>
      <c r="W16" s="61">
        <v>1</v>
      </c>
      <c r="X16" s="219">
        <f>IF(W16="",0,VLOOKUP(F16,AN$107:AZ$111,9,FALSE)*W16)</f>
        <v>17.27</v>
      </c>
      <c r="Y16" s="219"/>
      <c r="Z16" s="61"/>
      <c r="AA16" s="215">
        <f>IF(Z16="",0,VLOOKUP(F16,AN$107:AZ$111,11,FALSE)*Z16)</f>
        <v>0</v>
      </c>
      <c r="AB16" s="215"/>
      <c r="AC16" s="59"/>
      <c r="AD16" s="63">
        <f t="shared" ref="AD16:AD27" si="4">IF(AC16="",0,VLOOKUP(F16,AN$107:AZ$111,13,FALSE)*AC16)</f>
        <v>0</v>
      </c>
      <c r="AE16" s="64">
        <f t="shared" ref="AE16:AE27" si="5">+Q16+S16+U16+X16+AA16+AD16</f>
        <v>17.27</v>
      </c>
      <c r="AF16" s="6"/>
      <c r="AG16" s="6"/>
      <c r="AH16" s="65"/>
      <c r="AI16" s="66"/>
      <c r="AJ16" s="67"/>
      <c r="AK16" s="68"/>
      <c r="AL16" s="66"/>
    </row>
    <row r="17" spans="1:38" s="38" customFormat="1" x14ac:dyDescent="0.2">
      <c r="A17" s="2"/>
      <c r="B17" s="212"/>
      <c r="C17" s="212"/>
      <c r="D17" s="212"/>
      <c r="E17" s="212"/>
      <c r="F17" s="58"/>
      <c r="G17" s="213"/>
      <c r="H17" s="213"/>
      <c r="I17" s="213"/>
      <c r="J17" s="69"/>
      <c r="K17" s="60"/>
      <c r="L17" s="70"/>
      <c r="M17" s="214"/>
      <c r="N17" s="214"/>
      <c r="O17" s="214"/>
      <c r="P17" s="70"/>
      <c r="Q17" s="71">
        <f t="shared" si="0"/>
        <v>0</v>
      </c>
      <c r="R17" s="70"/>
      <c r="S17" s="71">
        <f t="shared" si="1"/>
        <v>0</v>
      </c>
      <c r="T17" s="70"/>
      <c r="U17" s="215">
        <f t="shared" si="2"/>
        <v>0</v>
      </c>
      <c r="V17" s="215" t="e">
        <f t="shared" si="3"/>
        <v>#N/A</v>
      </c>
      <c r="W17" s="70"/>
      <c r="X17" s="215">
        <f t="shared" ref="X17:X27" si="6">IF(W17="",0,VLOOKUP(F17,AN$107:AZ$111,9,FALSE)*W17)</f>
        <v>0</v>
      </c>
      <c r="Y17" s="215"/>
      <c r="Z17" s="70"/>
      <c r="AA17" s="215">
        <f t="shared" ref="AA17:AA27" si="7">IF(Z17="",0,VLOOKUP(F17,AN$107:AZ$111,11,FALSE)*Z17)</f>
        <v>0</v>
      </c>
      <c r="AB17" s="215"/>
      <c r="AC17" s="70"/>
      <c r="AD17" s="71">
        <f t="shared" si="4"/>
        <v>0</v>
      </c>
      <c r="AE17" s="72">
        <f t="shared" si="5"/>
        <v>0</v>
      </c>
      <c r="AF17" s="6"/>
      <c r="AG17" s="6"/>
      <c r="AH17" s="65"/>
      <c r="AI17" s="66"/>
      <c r="AJ17" s="67"/>
      <c r="AK17" s="73"/>
      <c r="AL17" s="66"/>
    </row>
    <row r="18" spans="1:38" s="38" customFormat="1" x14ac:dyDescent="0.2">
      <c r="A18" s="2"/>
      <c r="B18" s="212"/>
      <c r="C18" s="212"/>
      <c r="D18" s="212"/>
      <c r="E18" s="212"/>
      <c r="F18" s="58"/>
      <c r="G18" s="213"/>
      <c r="H18" s="213"/>
      <c r="I18" s="213"/>
      <c r="J18" s="69"/>
      <c r="K18" s="60"/>
      <c r="L18" s="70"/>
      <c r="M18" s="214"/>
      <c r="N18" s="214"/>
      <c r="O18" s="214"/>
      <c r="P18" s="70"/>
      <c r="Q18" s="71">
        <f t="shared" si="0"/>
        <v>0</v>
      </c>
      <c r="R18" s="70"/>
      <c r="S18" s="71">
        <f t="shared" si="1"/>
        <v>0</v>
      </c>
      <c r="T18" s="70"/>
      <c r="U18" s="215">
        <f t="shared" si="2"/>
        <v>0</v>
      </c>
      <c r="V18" s="215" t="e">
        <f t="shared" si="3"/>
        <v>#N/A</v>
      </c>
      <c r="W18" s="70"/>
      <c r="X18" s="215">
        <f t="shared" si="6"/>
        <v>0</v>
      </c>
      <c r="Y18" s="215"/>
      <c r="Z18" s="70"/>
      <c r="AA18" s="215">
        <f t="shared" si="7"/>
        <v>0</v>
      </c>
      <c r="AB18" s="215"/>
      <c r="AC18" s="70"/>
      <c r="AD18" s="71">
        <f t="shared" si="4"/>
        <v>0</v>
      </c>
      <c r="AE18" s="72">
        <f t="shared" si="5"/>
        <v>0</v>
      </c>
      <c r="AF18" s="6"/>
      <c r="AG18" s="6"/>
      <c r="AH18" s="65"/>
      <c r="AI18" s="66"/>
      <c r="AJ18" s="67"/>
      <c r="AK18" s="74"/>
      <c r="AL18" s="66"/>
    </row>
    <row r="19" spans="1:38" s="38" customFormat="1" x14ac:dyDescent="0.2">
      <c r="A19" s="2"/>
      <c r="B19" s="212"/>
      <c r="C19" s="212"/>
      <c r="D19" s="212"/>
      <c r="E19" s="212"/>
      <c r="F19" s="58"/>
      <c r="G19" s="213"/>
      <c r="H19" s="213"/>
      <c r="I19" s="213"/>
      <c r="J19" s="69"/>
      <c r="K19" s="60"/>
      <c r="L19" s="70"/>
      <c r="M19" s="214"/>
      <c r="N19" s="214"/>
      <c r="O19" s="214"/>
      <c r="P19" s="70"/>
      <c r="Q19" s="71">
        <f t="shared" si="0"/>
        <v>0</v>
      </c>
      <c r="R19" s="70"/>
      <c r="S19" s="71">
        <f t="shared" si="1"/>
        <v>0</v>
      </c>
      <c r="T19" s="70"/>
      <c r="U19" s="215">
        <f t="shared" si="2"/>
        <v>0</v>
      </c>
      <c r="V19" s="215" t="e">
        <f t="shared" si="3"/>
        <v>#N/A</v>
      </c>
      <c r="W19" s="70"/>
      <c r="X19" s="215">
        <f t="shared" si="6"/>
        <v>0</v>
      </c>
      <c r="Y19" s="215"/>
      <c r="Z19" s="70"/>
      <c r="AA19" s="215">
        <f t="shared" si="7"/>
        <v>0</v>
      </c>
      <c r="AB19" s="215"/>
      <c r="AC19" s="70"/>
      <c r="AD19" s="71">
        <f t="shared" si="4"/>
        <v>0</v>
      </c>
      <c r="AE19" s="72">
        <f t="shared" si="5"/>
        <v>0</v>
      </c>
      <c r="AF19" s="6"/>
      <c r="AG19" s="6"/>
      <c r="AH19" s="65"/>
      <c r="AI19" s="66"/>
      <c r="AJ19" s="67"/>
      <c r="AK19" s="74"/>
      <c r="AL19" s="74"/>
    </row>
    <row r="20" spans="1:38" s="38" customFormat="1" x14ac:dyDescent="0.2">
      <c r="A20" s="2"/>
      <c r="B20" s="212"/>
      <c r="C20" s="212"/>
      <c r="D20" s="212"/>
      <c r="E20" s="212"/>
      <c r="F20" s="58"/>
      <c r="G20" s="213"/>
      <c r="H20" s="213"/>
      <c r="I20" s="213"/>
      <c r="J20" s="70"/>
      <c r="K20" s="60"/>
      <c r="L20" s="70"/>
      <c r="M20" s="214"/>
      <c r="N20" s="214"/>
      <c r="O20" s="214"/>
      <c r="P20" s="70"/>
      <c r="Q20" s="71">
        <f t="shared" si="0"/>
        <v>0</v>
      </c>
      <c r="R20" s="70"/>
      <c r="S20" s="71">
        <f t="shared" si="1"/>
        <v>0</v>
      </c>
      <c r="T20" s="70"/>
      <c r="U20" s="215">
        <f t="shared" si="2"/>
        <v>0</v>
      </c>
      <c r="V20" s="215" t="e">
        <f t="shared" si="3"/>
        <v>#N/A</v>
      </c>
      <c r="W20" s="70"/>
      <c r="X20" s="215">
        <f t="shared" si="6"/>
        <v>0</v>
      </c>
      <c r="Y20" s="215"/>
      <c r="Z20" s="70"/>
      <c r="AA20" s="215">
        <f t="shared" si="7"/>
        <v>0</v>
      </c>
      <c r="AB20" s="215"/>
      <c r="AC20" s="70"/>
      <c r="AD20" s="71">
        <f t="shared" si="4"/>
        <v>0</v>
      </c>
      <c r="AE20" s="72">
        <f t="shared" si="5"/>
        <v>0</v>
      </c>
      <c r="AF20" s="6"/>
      <c r="AG20" s="6"/>
      <c r="AH20" s="65"/>
      <c r="AI20" s="66"/>
      <c r="AJ20" s="67"/>
      <c r="AK20" s="74"/>
      <c r="AL20" s="74"/>
    </row>
    <row r="21" spans="1:38" s="38" customFormat="1" x14ac:dyDescent="0.2">
      <c r="A21" s="2"/>
      <c r="B21" s="212"/>
      <c r="C21" s="212"/>
      <c r="D21" s="212"/>
      <c r="E21" s="212"/>
      <c r="F21" s="58"/>
      <c r="G21" s="213"/>
      <c r="H21" s="213"/>
      <c r="I21" s="213"/>
      <c r="J21" s="70"/>
      <c r="K21" s="60"/>
      <c r="L21" s="70"/>
      <c r="M21" s="214"/>
      <c r="N21" s="214"/>
      <c r="O21" s="214"/>
      <c r="P21" s="70"/>
      <c r="Q21" s="71">
        <f t="shared" si="0"/>
        <v>0</v>
      </c>
      <c r="R21" s="70"/>
      <c r="S21" s="71">
        <f t="shared" si="1"/>
        <v>0</v>
      </c>
      <c r="T21" s="70"/>
      <c r="U21" s="215">
        <f t="shared" si="2"/>
        <v>0</v>
      </c>
      <c r="V21" s="215" t="e">
        <f t="shared" si="3"/>
        <v>#N/A</v>
      </c>
      <c r="W21" s="70"/>
      <c r="X21" s="215">
        <f t="shared" si="6"/>
        <v>0</v>
      </c>
      <c r="Y21" s="215"/>
      <c r="Z21" s="70"/>
      <c r="AA21" s="215">
        <f t="shared" si="7"/>
        <v>0</v>
      </c>
      <c r="AB21" s="215"/>
      <c r="AC21" s="70"/>
      <c r="AD21" s="71">
        <f t="shared" si="4"/>
        <v>0</v>
      </c>
      <c r="AE21" s="72">
        <f t="shared" si="5"/>
        <v>0</v>
      </c>
      <c r="AF21" s="6"/>
      <c r="AG21" s="6"/>
      <c r="AH21" s="65"/>
      <c r="AI21" s="66"/>
      <c r="AJ21" s="67"/>
      <c r="AK21" s="74"/>
      <c r="AL21" s="74"/>
    </row>
    <row r="22" spans="1:38" s="38" customFormat="1" x14ac:dyDescent="0.2">
      <c r="A22" s="2"/>
      <c r="B22" s="212"/>
      <c r="C22" s="212"/>
      <c r="D22" s="212"/>
      <c r="E22" s="212"/>
      <c r="F22" s="58"/>
      <c r="G22" s="213"/>
      <c r="H22" s="213"/>
      <c r="I22" s="213"/>
      <c r="J22" s="70"/>
      <c r="K22" s="60"/>
      <c r="L22" s="70"/>
      <c r="M22" s="214"/>
      <c r="N22" s="214"/>
      <c r="O22" s="214"/>
      <c r="P22" s="70"/>
      <c r="Q22" s="71">
        <f t="shared" si="0"/>
        <v>0</v>
      </c>
      <c r="R22" s="70"/>
      <c r="S22" s="71">
        <f t="shared" si="1"/>
        <v>0</v>
      </c>
      <c r="T22" s="70"/>
      <c r="U22" s="215">
        <f t="shared" si="2"/>
        <v>0</v>
      </c>
      <c r="V22" s="215" t="e">
        <f t="shared" si="3"/>
        <v>#N/A</v>
      </c>
      <c r="W22" s="70"/>
      <c r="X22" s="215">
        <f t="shared" si="6"/>
        <v>0</v>
      </c>
      <c r="Y22" s="215"/>
      <c r="Z22" s="70"/>
      <c r="AA22" s="215">
        <f t="shared" si="7"/>
        <v>0</v>
      </c>
      <c r="AB22" s="215"/>
      <c r="AC22" s="69"/>
      <c r="AD22" s="71">
        <f t="shared" si="4"/>
        <v>0</v>
      </c>
      <c r="AE22" s="72">
        <f t="shared" si="5"/>
        <v>0</v>
      </c>
      <c r="AF22" s="6"/>
      <c r="AG22" s="6"/>
      <c r="AH22" s="65"/>
      <c r="AI22" s="66"/>
      <c r="AJ22" s="67"/>
      <c r="AK22" s="74"/>
      <c r="AL22" s="74"/>
    </row>
    <row r="23" spans="1:38" x14ac:dyDescent="0.2">
      <c r="A23" s="2"/>
      <c r="B23" s="212"/>
      <c r="C23" s="212"/>
      <c r="D23" s="212"/>
      <c r="E23" s="212"/>
      <c r="F23" s="58"/>
      <c r="G23" s="213"/>
      <c r="H23" s="213"/>
      <c r="I23" s="213"/>
      <c r="J23" s="75"/>
      <c r="K23" s="60"/>
      <c r="L23" s="70"/>
      <c r="M23" s="214"/>
      <c r="N23" s="214"/>
      <c r="O23" s="214"/>
      <c r="P23" s="70"/>
      <c r="Q23" s="71">
        <f t="shared" si="0"/>
        <v>0</v>
      </c>
      <c r="R23" s="75"/>
      <c r="S23" s="71">
        <f t="shared" si="1"/>
        <v>0</v>
      </c>
      <c r="T23" s="75"/>
      <c r="U23" s="215">
        <f t="shared" si="2"/>
        <v>0</v>
      </c>
      <c r="V23" s="215" t="e">
        <f t="shared" si="3"/>
        <v>#N/A</v>
      </c>
      <c r="W23" s="75"/>
      <c r="X23" s="215">
        <f t="shared" si="6"/>
        <v>0</v>
      </c>
      <c r="Y23" s="215"/>
      <c r="Z23" s="75"/>
      <c r="AA23" s="215">
        <f t="shared" si="7"/>
        <v>0</v>
      </c>
      <c r="AB23" s="215"/>
      <c r="AC23" s="76"/>
      <c r="AD23" s="71">
        <f t="shared" si="4"/>
        <v>0</v>
      </c>
      <c r="AE23" s="72">
        <f t="shared" si="5"/>
        <v>0</v>
      </c>
      <c r="AF23" s="6"/>
      <c r="AG23" s="6"/>
      <c r="AH23" s="77"/>
      <c r="AI23" s="78"/>
      <c r="AJ23" s="79"/>
    </row>
    <row r="24" spans="1:38" x14ac:dyDescent="0.2">
      <c r="A24" s="2"/>
      <c r="B24" s="212"/>
      <c r="C24" s="212"/>
      <c r="D24" s="212"/>
      <c r="E24" s="212"/>
      <c r="F24" s="58"/>
      <c r="G24" s="213"/>
      <c r="H24" s="213"/>
      <c r="I24" s="213"/>
      <c r="J24" s="75"/>
      <c r="K24" s="60"/>
      <c r="L24" s="70"/>
      <c r="M24" s="214"/>
      <c r="N24" s="214"/>
      <c r="O24" s="214"/>
      <c r="P24" s="70"/>
      <c r="Q24" s="71">
        <f t="shared" si="0"/>
        <v>0</v>
      </c>
      <c r="R24" s="75"/>
      <c r="S24" s="71">
        <f t="shared" si="1"/>
        <v>0</v>
      </c>
      <c r="T24" s="75"/>
      <c r="U24" s="215">
        <f t="shared" si="2"/>
        <v>0</v>
      </c>
      <c r="V24" s="215" t="e">
        <f t="shared" si="3"/>
        <v>#N/A</v>
      </c>
      <c r="W24" s="75"/>
      <c r="X24" s="215">
        <f t="shared" si="6"/>
        <v>0</v>
      </c>
      <c r="Y24" s="215"/>
      <c r="Z24" s="75"/>
      <c r="AA24" s="215">
        <f t="shared" si="7"/>
        <v>0</v>
      </c>
      <c r="AB24" s="215"/>
      <c r="AC24" s="76"/>
      <c r="AD24" s="71">
        <f t="shared" si="4"/>
        <v>0</v>
      </c>
      <c r="AE24" s="72">
        <f t="shared" si="5"/>
        <v>0</v>
      </c>
      <c r="AF24" s="6"/>
      <c r="AG24" s="6"/>
      <c r="AH24" s="77"/>
      <c r="AI24" s="78"/>
      <c r="AJ24" s="79"/>
    </row>
    <row r="25" spans="1:38" x14ac:dyDescent="0.2">
      <c r="A25" s="2"/>
      <c r="B25" s="212"/>
      <c r="C25" s="212"/>
      <c r="D25" s="212"/>
      <c r="E25" s="212"/>
      <c r="F25" s="58"/>
      <c r="G25" s="213"/>
      <c r="H25" s="213"/>
      <c r="I25" s="213"/>
      <c r="J25" s="75"/>
      <c r="K25" s="60"/>
      <c r="L25" s="70"/>
      <c r="M25" s="214"/>
      <c r="N25" s="214"/>
      <c r="O25" s="214"/>
      <c r="P25" s="70"/>
      <c r="Q25" s="71">
        <f t="shared" si="0"/>
        <v>0</v>
      </c>
      <c r="R25" s="75"/>
      <c r="S25" s="71">
        <f t="shared" si="1"/>
        <v>0</v>
      </c>
      <c r="T25" s="75"/>
      <c r="U25" s="215">
        <f t="shared" si="2"/>
        <v>0</v>
      </c>
      <c r="V25" s="215" t="e">
        <f t="shared" si="3"/>
        <v>#N/A</v>
      </c>
      <c r="W25" s="75"/>
      <c r="X25" s="215">
        <f t="shared" si="6"/>
        <v>0</v>
      </c>
      <c r="Y25" s="215"/>
      <c r="Z25" s="75"/>
      <c r="AA25" s="215">
        <f t="shared" si="7"/>
        <v>0</v>
      </c>
      <c r="AB25" s="215"/>
      <c r="AC25" s="76"/>
      <c r="AD25" s="71">
        <f t="shared" si="4"/>
        <v>0</v>
      </c>
      <c r="AE25" s="72">
        <f t="shared" si="5"/>
        <v>0</v>
      </c>
      <c r="AF25" s="6"/>
      <c r="AG25" s="6"/>
      <c r="AH25" s="77"/>
      <c r="AI25" s="78"/>
      <c r="AJ25" s="79"/>
    </row>
    <row r="26" spans="1:38" x14ac:dyDescent="0.2">
      <c r="A26" s="2"/>
      <c r="B26" s="212"/>
      <c r="C26" s="212"/>
      <c r="D26" s="212"/>
      <c r="E26" s="212"/>
      <c r="F26" s="58"/>
      <c r="G26" s="213"/>
      <c r="H26" s="213"/>
      <c r="I26" s="213"/>
      <c r="J26" s="75"/>
      <c r="K26" s="60"/>
      <c r="L26" s="70"/>
      <c r="M26" s="214"/>
      <c r="N26" s="214"/>
      <c r="O26" s="214"/>
      <c r="P26" s="70"/>
      <c r="Q26" s="71">
        <f t="shared" si="0"/>
        <v>0</v>
      </c>
      <c r="R26" s="75"/>
      <c r="S26" s="71">
        <f t="shared" si="1"/>
        <v>0</v>
      </c>
      <c r="T26" s="75"/>
      <c r="U26" s="215">
        <f t="shared" si="2"/>
        <v>0</v>
      </c>
      <c r="V26" s="215" t="e">
        <f t="shared" si="3"/>
        <v>#N/A</v>
      </c>
      <c r="W26" s="75"/>
      <c r="X26" s="215">
        <f t="shared" si="6"/>
        <v>0</v>
      </c>
      <c r="Y26" s="215"/>
      <c r="Z26" s="75"/>
      <c r="AA26" s="215">
        <f t="shared" si="7"/>
        <v>0</v>
      </c>
      <c r="AB26" s="215"/>
      <c r="AC26" s="76"/>
      <c r="AD26" s="71">
        <f t="shared" si="4"/>
        <v>0</v>
      </c>
      <c r="AE26" s="72">
        <f t="shared" si="5"/>
        <v>0</v>
      </c>
      <c r="AF26" s="6"/>
      <c r="AG26" s="6"/>
      <c r="AH26" s="77"/>
      <c r="AI26" s="78"/>
      <c r="AJ26" s="79"/>
    </row>
    <row r="27" spans="1:38" x14ac:dyDescent="0.2">
      <c r="A27" s="2"/>
      <c r="B27" s="212"/>
      <c r="C27" s="212"/>
      <c r="D27" s="212"/>
      <c r="E27" s="212"/>
      <c r="F27" s="58"/>
      <c r="G27" s="213"/>
      <c r="H27" s="213"/>
      <c r="I27" s="213"/>
      <c r="J27" s="75"/>
      <c r="K27" s="60"/>
      <c r="L27" s="70"/>
      <c r="M27" s="214"/>
      <c r="N27" s="214"/>
      <c r="O27" s="214"/>
      <c r="P27" s="70"/>
      <c r="Q27" s="80">
        <f t="shared" si="0"/>
        <v>0</v>
      </c>
      <c r="R27" s="81"/>
      <c r="S27" s="80">
        <f t="shared" si="1"/>
        <v>0</v>
      </c>
      <c r="T27" s="81"/>
      <c r="U27" s="223">
        <f t="shared" si="2"/>
        <v>0</v>
      </c>
      <c r="V27" s="223" t="e">
        <f t="shared" si="3"/>
        <v>#N/A</v>
      </c>
      <c r="W27" s="81"/>
      <c r="X27" s="223">
        <f t="shared" si="6"/>
        <v>0</v>
      </c>
      <c r="Y27" s="223"/>
      <c r="Z27" s="81"/>
      <c r="AA27" s="223">
        <f t="shared" si="7"/>
        <v>0</v>
      </c>
      <c r="AB27" s="223"/>
      <c r="AC27" s="82"/>
      <c r="AD27" s="80">
        <f t="shared" si="4"/>
        <v>0</v>
      </c>
      <c r="AE27" s="72">
        <f t="shared" si="5"/>
        <v>0</v>
      </c>
      <c r="AF27" s="6"/>
      <c r="AG27" s="6"/>
      <c r="AH27" s="77"/>
      <c r="AI27" s="78"/>
      <c r="AJ27" s="79"/>
    </row>
    <row r="28" spans="1:38" x14ac:dyDescent="0.2">
      <c r="A28" s="2"/>
      <c r="B28" s="239" t="s">
        <v>39</v>
      </c>
      <c r="C28" s="239"/>
      <c r="D28" s="239"/>
      <c r="E28" s="239"/>
      <c r="F28" s="239"/>
      <c r="G28" s="239"/>
      <c r="H28" s="240" t="s">
        <v>40</v>
      </c>
      <c r="I28" s="240"/>
      <c r="J28" s="241" t="s">
        <v>172</v>
      </c>
      <c r="K28" s="241"/>
      <c r="L28" s="241"/>
      <c r="M28" s="240" t="s">
        <v>41</v>
      </c>
      <c r="N28" s="240"/>
      <c r="O28" s="240"/>
      <c r="P28" s="240"/>
      <c r="Q28" s="240"/>
      <c r="R28" s="240"/>
      <c r="S28" s="240"/>
      <c r="T28" s="242" t="s">
        <v>173</v>
      </c>
      <c r="U28" s="242"/>
      <c r="V28" s="242"/>
      <c r="W28" s="242"/>
      <c r="X28" s="242"/>
      <c r="Y28" s="242"/>
      <c r="Z28" s="242"/>
      <c r="AA28" s="243" t="s">
        <v>42</v>
      </c>
      <c r="AB28" s="243"/>
      <c r="AC28" s="243"/>
      <c r="AD28" s="243"/>
      <c r="AE28" s="83">
        <f>IF(AH29&gt;N10,-N10+AH29,0)</f>
        <v>0</v>
      </c>
      <c r="AF28" s="6"/>
      <c r="AG28" s="6"/>
      <c r="AH28" s="77" t="s">
        <v>43</v>
      </c>
      <c r="AI28" s="78"/>
      <c r="AJ28" s="79"/>
    </row>
    <row r="29" spans="1:38" ht="13.7" customHeight="1" x14ac:dyDescent="0.2">
      <c r="A29" s="2"/>
      <c r="B29" s="233" t="s">
        <v>44</v>
      </c>
      <c r="C29" s="233"/>
      <c r="D29" s="233"/>
      <c r="E29" s="233"/>
      <c r="F29" s="233"/>
      <c r="G29" s="233"/>
      <c r="H29" s="233"/>
      <c r="I29" s="233"/>
      <c r="J29" s="233"/>
      <c r="K29" s="233"/>
      <c r="L29" s="233"/>
      <c r="M29" s="233"/>
      <c r="N29" s="233"/>
      <c r="O29" s="233"/>
      <c r="P29" s="233"/>
      <c r="Q29" s="233"/>
      <c r="R29" s="233"/>
      <c r="S29" s="233"/>
      <c r="T29" s="233"/>
      <c r="U29" s="234" t="s">
        <v>45</v>
      </c>
      <c r="V29" s="234"/>
      <c r="W29" s="234"/>
      <c r="X29" s="234"/>
      <c r="Y29" s="234"/>
      <c r="Z29" s="234"/>
      <c r="AA29" s="234"/>
      <c r="AB29" s="234"/>
      <c r="AC29" s="234"/>
      <c r="AD29" s="234"/>
      <c r="AE29" s="84">
        <f>+AH29-AE28</f>
        <v>17.27</v>
      </c>
      <c r="AF29" s="6"/>
      <c r="AG29" s="6"/>
      <c r="AH29" s="85">
        <f>SUM(AE16:AE27)</f>
        <v>17.27</v>
      </c>
      <c r="AJ29" s="78"/>
    </row>
    <row r="30" spans="1:38" ht="13.5" customHeight="1" x14ac:dyDescent="0.2">
      <c r="A30" s="2"/>
      <c r="B30" s="233"/>
      <c r="C30" s="233"/>
      <c r="D30" s="233"/>
      <c r="E30" s="233"/>
      <c r="F30" s="233"/>
      <c r="G30" s="233"/>
      <c r="H30" s="233"/>
      <c r="I30" s="233"/>
      <c r="J30" s="233"/>
      <c r="K30" s="233"/>
      <c r="L30" s="233"/>
      <c r="M30" s="233"/>
      <c r="N30" s="233"/>
      <c r="O30" s="233"/>
      <c r="P30" s="233"/>
      <c r="Q30" s="233"/>
      <c r="R30" s="233"/>
      <c r="S30" s="233"/>
      <c r="T30" s="233"/>
      <c r="U30" s="235" t="s">
        <v>46</v>
      </c>
      <c r="V30" s="235"/>
      <c r="W30" s="235"/>
      <c r="X30" s="235"/>
      <c r="Y30" s="235"/>
      <c r="Z30" s="235"/>
      <c r="AA30" s="235"/>
      <c r="AB30" s="235"/>
      <c r="AC30" s="235"/>
      <c r="AD30" s="235"/>
      <c r="AE30" s="86"/>
      <c r="AF30" s="6"/>
      <c r="AG30" s="6"/>
      <c r="AH30" s="85"/>
      <c r="AJ30" s="78"/>
    </row>
    <row r="31" spans="1:38" ht="13.5" customHeight="1" x14ac:dyDescent="0.2">
      <c r="A31" s="2"/>
      <c r="B31" s="233"/>
      <c r="C31" s="233"/>
      <c r="D31" s="233"/>
      <c r="E31" s="233"/>
      <c r="F31" s="233"/>
      <c r="G31" s="233"/>
      <c r="H31" s="233"/>
      <c r="I31" s="233"/>
      <c r="J31" s="233"/>
      <c r="K31" s="233"/>
      <c r="L31" s="233"/>
      <c r="M31" s="233"/>
      <c r="N31" s="233"/>
      <c r="O31" s="233"/>
      <c r="P31" s="233"/>
      <c r="Q31" s="233"/>
      <c r="R31" s="233"/>
      <c r="S31" s="233"/>
      <c r="T31" s="233"/>
      <c r="U31" s="236" t="s">
        <v>47</v>
      </c>
      <c r="V31" s="236"/>
      <c r="W31" s="236"/>
      <c r="X31" s="236"/>
      <c r="Y31" s="236"/>
      <c r="Z31" s="236"/>
      <c r="AA31" s="236"/>
      <c r="AB31" s="236"/>
      <c r="AC31" s="236"/>
      <c r="AD31" s="236"/>
      <c r="AE31" s="87">
        <f>+AE29-AE30</f>
        <v>17.27</v>
      </c>
      <c r="AF31" s="6"/>
      <c r="AG31" s="6"/>
      <c r="AH31" s="85"/>
      <c r="AJ31" s="78"/>
    </row>
    <row r="32" spans="1:38" ht="7.5" customHeight="1" x14ac:dyDescent="0.2">
      <c r="A32" s="2"/>
      <c r="B32" s="88"/>
      <c r="C32" s="88"/>
      <c r="D32" s="88"/>
      <c r="E32" s="88"/>
      <c r="F32" s="88"/>
      <c r="G32" s="88"/>
      <c r="H32" s="88"/>
      <c r="I32" s="88"/>
      <c r="J32" s="2"/>
      <c r="K32" s="2"/>
      <c r="L32" s="2"/>
      <c r="M32" s="2"/>
      <c r="N32" s="2"/>
      <c r="O32" s="2"/>
      <c r="P32" s="2"/>
      <c r="Q32" s="2"/>
      <c r="R32" s="89"/>
      <c r="S32" s="89"/>
      <c r="T32" s="89"/>
      <c r="U32" s="89"/>
      <c r="V32" s="89"/>
      <c r="W32" s="89"/>
      <c r="X32" s="89"/>
      <c r="Y32" s="89"/>
      <c r="Z32" s="89"/>
      <c r="AA32" s="89"/>
      <c r="AB32" s="89"/>
      <c r="AC32" s="89"/>
      <c r="AD32" s="90"/>
      <c r="AE32" s="90"/>
      <c r="AF32" s="6"/>
      <c r="AG32" s="6"/>
      <c r="AH32" s="85"/>
      <c r="AJ32" s="78"/>
    </row>
    <row r="33" spans="1:32" ht="9.9499999999999993" customHeight="1" thickTop="1" thickBot="1" x14ac:dyDescent="0.25">
      <c r="A33" s="2"/>
      <c r="B33" s="237" t="s">
        <v>48</v>
      </c>
      <c r="C33" s="237"/>
      <c r="D33" s="237"/>
      <c r="E33" s="237"/>
      <c r="F33" s="237"/>
      <c r="G33" s="237"/>
      <c r="H33" s="237"/>
      <c r="I33" s="237"/>
      <c r="J33" s="237"/>
      <c r="K33" s="237"/>
      <c r="L33" s="237"/>
      <c r="M33" s="237"/>
      <c r="N33" s="237"/>
      <c r="O33" s="237"/>
      <c r="P33" s="237"/>
      <c r="Q33" s="237"/>
      <c r="R33" s="91"/>
      <c r="S33" s="238" t="s">
        <v>49</v>
      </c>
      <c r="T33" s="238"/>
      <c r="U33" s="238"/>
      <c r="V33" s="238"/>
      <c r="W33" s="238"/>
      <c r="X33" s="238"/>
      <c r="Y33" s="238"/>
      <c r="Z33" s="238"/>
      <c r="AA33" s="238"/>
      <c r="AB33" s="238"/>
      <c r="AC33" s="238"/>
      <c r="AD33" s="238"/>
      <c r="AE33" s="238"/>
      <c r="AF33" s="6"/>
    </row>
    <row r="34" spans="1:32" ht="12.6" customHeight="1" thickTop="1" x14ac:dyDescent="0.2">
      <c r="A34" s="2"/>
      <c r="B34" s="224" t="s">
        <v>166</v>
      </c>
      <c r="C34" s="225"/>
      <c r="D34" s="225"/>
      <c r="E34" s="225"/>
      <c r="F34" s="225"/>
      <c r="G34" s="225"/>
      <c r="H34" s="225"/>
      <c r="I34" s="225"/>
      <c r="J34" s="225"/>
      <c r="K34" s="225"/>
      <c r="L34" s="225"/>
      <c r="M34" s="225"/>
      <c r="N34" s="225"/>
      <c r="O34" s="225"/>
      <c r="P34" s="225"/>
      <c r="Q34" s="226"/>
      <c r="R34" s="92"/>
      <c r="S34" s="238"/>
      <c r="T34" s="238"/>
      <c r="U34" s="238"/>
      <c r="V34" s="238"/>
      <c r="W34" s="238"/>
      <c r="X34" s="238"/>
      <c r="Y34" s="238"/>
      <c r="Z34" s="238"/>
      <c r="AA34" s="238"/>
      <c r="AB34" s="238"/>
      <c r="AC34" s="238"/>
      <c r="AD34" s="238"/>
      <c r="AE34" s="238"/>
      <c r="AF34" s="6"/>
    </row>
    <row r="35" spans="1:32" ht="12.6" customHeight="1" x14ac:dyDescent="0.2">
      <c r="A35" s="2"/>
      <c r="B35" s="227"/>
      <c r="C35" s="228"/>
      <c r="D35" s="228"/>
      <c r="E35" s="228"/>
      <c r="F35" s="228"/>
      <c r="G35" s="228"/>
      <c r="H35" s="228"/>
      <c r="I35" s="228"/>
      <c r="J35" s="228"/>
      <c r="K35" s="228"/>
      <c r="L35" s="228"/>
      <c r="M35" s="228"/>
      <c r="N35" s="228"/>
      <c r="O35" s="228"/>
      <c r="P35" s="228"/>
      <c r="Q35" s="229"/>
      <c r="R35" s="93"/>
      <c r="S35" s="249" t="s">
        <v>21</v>
      </c>
      <c r="T35" s="245" t="s">
        <v>51</v>
      </c>
      <c r="U35" s="245"/>
      <c r="V35" s="245"/>
      <c r="W35" s="245"/>
      <c r="X35" s="250" t="s">
        <v>29</v>
      </c>
      <c r="Y35" s="250"/>
      <c r="Z35" s="250" t="s">
        <v>30</v>
      </c>
      <c r="AA35" s="250"/>
      <c r="AB35" s="250"/>
      <c r="AC35" s="250" t="s">
        <v>31</v>
      </c>
      <c r="AD35" s="250"/>
      <c r="AE35" s="244" t="s">
        <v>32</v>
      </c>
      <c r="AF35" s="6"/>
    </row>
    <row r="36" spans="1:32" ht="12.6" customHeight="1" x14ac:dyDescent="0.2">
      <c r="A36" s="2"/>
      <c r="B36" s="227"/>
      <c r="C36" s="228"/>
      <c r="D36" s="228"/>
      <c r="E36" s="228"/>
      <c r="F36" s="228"/>
      <c r="G36" s="228"/>
      <c r="H36" s="228"/>
      <c r="I36" s="228"/>
      <c r="J36" s="228"/>
      <c r="K36" s="228"/>
      <c r="L36" s="228"/>
      <c r="M36" s="228"/>
      <c r="N36" s="228"/>
      <c r="O36" s="228"/>
      <c r="P36" s="228"/>
      <c r="Q36" s="229"/>
      <c r="R36" s="93"/>
      <c r="S36" s="249"/>
      <c r="T36" s="245"/>
      <c r="U36" s="245"/>
      <c r="V36" s="245"/>
      <c r="W36" s="245"/>
      <c r="X36" s="250"/>
      <c r="Y36" s="250"/>
      <c r="Z36" s="245" t="s">
        <v>52</v>
      </c>
      <c r="AA36" s="245"/>
      <c r="AB36" s="94" t="s">
        <v>53</v>
      </c>
      <c r="AC36" s="94" t="s">
        <v>54</v>
      </c>
      <c r="AD36" s="94" t="s">
        <v>55</v>
      </c>
      <c r="AE36" s="244"/>
    </row>
    <row r="37" spans="1:32" ht="12.6" customHeight="1" x14ac:dyDescent="0.2">
      <c r="A37" s="2"/>
      <c r="B37" s="227"/>
      <c r="C37" s="228"/>
      <c r="D37" s="228"/>
      <c r="E37" s="228"/>
      <c r="F37" s="228"/>
      <c r="G37" s="228"/>
      <c r="H37" s="228"/>
      <c r="I37" s="228"/>
      <c r="J37" s="228"/>
      <c r="K37" s="228"/>
      <c r="L37" s="228"/>
      <c r="M37" s="228"/>
      <c r="N37" s="228"/>
      <c r="O37" s="228"/>
      <c r="P37" s="228"/>
      <c r="Q37" s="229"/>
      <c r="R37" s="93"/>
      <c r="S37" s="246">
        <v>1</v>
      </c>
      <c r="T37" s="247" t="s">
        <v>56</v>
      </c>
      <c r="U37" s="247"/>
      <c r="V37" s="247"/>
      <c r="W37" s="247"/>
      <c r="X37" s="248">
        <f>+AM107</f>
        <v>172.76</v>
      </c>
      <c r="Y37" s="248"/>
      <c r="Z37" s="248">
        <f>+AR107</f>
        <v>34.549999999999997</v>
      </c>
      <c r="AA37" s="248"/>
      <c r="AB37" s="248">
        <f>+AT107</f>
        <v>69.099999999999994</v>
      </c>
      <c r="AC37" s="248">
        <f>+AV107</f>
        <v>34.549999999999997</v>
      </c>
      <c r="AD37" s="248">
        <f>+AX107</f>
        <v>69.099999999999994</v>
      </c>
      <c r="AE37" s="251">
        <f>+AZ107</f>
        <v>86.38</v>
      </c>
    </row>
    <row r="38" spans="1:32" ht="12.6" customHeight="1" thickBot="1" x14ac:dyDescent="0.25">
      <c r="A38" s="2"/>
      <c r="B38" s="230"/>
      <c r="C38" s="231"/>
      <c r="D38" s="231"/>
      <c r="E38" s="231"/>
      <c r="F38" s="231"/>
      <c r="G38" s="231"/>
      <c r="H38" s="231"/>
      <c r="I38" s="231"/>
      <c r="J38" s="231"/>
      <c r="K38" s="231"/>
      <c r="L38" s="231"/>
      <c r="M38" s="231"/>
      <c r="N38" s="231"/>
      <c r="O38" s="231"/>
      <c r="P38" s="231"/>
      <c r="Q38" s="232"/>
      <c r="R38" s="93"/>
      <c r="S38" s="246"/>
      <c r="T38" s="247"/>
      <c r="U38" s="247"/>
      <c r="V38" s="247"/>
      <c r="W38" s="247"/>
      <c r="X38" s="248"/>
      <c r="Y38" s="248"/>
      <c r="Z38" s="248"/>
      <c r="AA38" s="248"/>
      <c r="AB38" s="248"/>
      <c r="AC38" s="248"/>
      <c r="AD38" s="248"/>
      <c r="AE38" s="251"/>
    </row>
    <row r="39" spans="1:32" ht="7.5" customHeight="1" thickTop="1" thickBot="1" x14ac:dyDescent="0.25">
      <c r="A39" s="2"/>
      <c r="B39" s="95"/>
      <c r="C39" s="95"/>
      <c r="D39" s="95"/>
      <c r="E39" s="95"/>
      <c r="F39" s="95"/>
      <c r="G39" s="95"/>
      <c r="H39" s="95"/>
      <c r="I39" s="95"/>
      <c r="J39" s="95"/>
      <c r="K39" s="95"/>
      <c r="L39" s="95"/>
      <c r="M39" s="95"/>
      <c r="N39" s="95"/>
      <c r="O39" s="95"/>
      <c r="P39" s="95"/>
      <c r="Q39" s="95"/>
      <c r="R39" s="96"/>
      <c r="S39" s="246"/>
      <c r="T39" s="247"/>
      <c r="U39" s="247"/>
      <c r="V39" s="247"/>
      <c r="W39" s="247"/>
      <c r="X39" s="248"/>
      <c r="Y39" s="248"/>
      <c r="Z39" s="248"/>
      <c r="AA39" s="248"/>
      <c r="AB39" s="248"/>
      <c r="AC39" s="248"/>
      <c r="AD39" s="248"/>
      <c r="AE39" s="251"/>
    </row>
    <row r="40" spans="1:32" ht="14.25" customHeight="1" x14ac:dyDescent="0.2">
      <c r="A40" s="2"/>
      <c r="B40" s="97" t="s">
        <v>57</v>
      </c>
      <c r="C40" s="98"/>
      <c r="D40" s="98"/>
      <c r="E40" s="99"/>
      <c r="F40" s="100" t="s">
        <v>58</v>
      </c>
      <c r="G40" s="101"/>
      <c r="H40" s="101"/>
      <c r="I40" s="102" t="s">
        <v>59</v>
      </c>
      <c r="J40" s="103"/>
      <c r="K40" s="103"/>
      <c r="L40" s="103"/>
      <c r="M40" s="103"/>
      <c r="N40" s="103"/>
      <c r="O40" s="103"/>
      <c r="P40" s="103"/>
      <c r="Q40" s="104"/>
      <c r="R40" s="7"/>
      <c r="S40" s="252">
        <v>2</v>
      </c>
      <c r="T40" s="253" t="s">
        <v>60</v>
      </c>
      <c r="U40" s="253"/>
      <c r="V40" s="253"/>
      <c r="W40" s="253"/>
      <c r="X40" s="248">
        <f>+AM108</f>
        <v>155.47999999999999</v>
      </c>
      <c r="Y40" s="248"/>
      <c r="Z40" s="248">
        <f>+AR108</f>
        <v>31.09</v>
      </c>
      <c r="AA40" s="248"/>
      <c r="AB40" s="248">
        <f>+AT108</f>
        <v>62.19</v>
      </c>
      <c r="AC40" s="248">
        <f>+AV108</f>
        <v>31.09</v>
      </c>
      <c r="AD40" s="248">
        <f>+AX108</f>
        <v>62.19</v>
      </c>
      <c r="AE40" s="251">
        <f>+AZ108</f>
        <v>77.739999999999995</v>
      </c>
    </row>
    <row r="41" spans="1:32" ht="14.25" customHeight="1" x14ac:dyDescent="0.2">
      <c r="A41" s="2"/>
      <c r="B41" s="105" t="s">
        <v>61</v>
      </c>
      <c r="C41" s="106"/>
      <c r="D41" s="106"/>
      <c r="E41" s="107"/>
      <c r="F41" s="108" t="s">
        <v>62</v>
      </c>
      <c r="G41" s="109"/>
      <c r="H41" s="109"/>
      <c r="I41" s="110" t="s">
        <v>63</v>
      </c>
      <c r="J41" s="111"/>
      <c r="K41" s="112"/>
      <c r="L41" s="113"/>
      <c r="M41" s="258">
        <f>AE29</f>
        <v>17.27</v>
      </c>
      <c r="N41" s="258"/>
      <c r="O41" s="258"/>
      <c r="P41" s="258"/>
      <c r="Q41" s="258"/>
      <c r="R41" s="7"/>
      <c r="S41" s="252"/>
      <c r="T41" s="253"/>
      <c r="U41" s="253"/>
      <c r="V41" s="253"/>
      <c r="W41" s="253"/>
      <c r="X41" s="248"/>
      <c r="Y41" s="248"/>
      <c r="Z41" s="248"/>
      <c r="AA41" s="248"/>
      <c r="AB41" s="248"/>
      <c r="AC41" s="248"/>
      <c r="AD41" s="248"/>
      <c r="AE41" s="251"/>
    </row>
    <row r="42" spans="1:32" ht="14.25" customHeight="1" x14ac:dyDescent="0.2">
      <c r="A42" s="2"/>
      <c r="B42" s="105" t="s">
        <v>64</v>
      </c>
      <c r="C42" s="106"/>
      <c r="D42" s="106"/>
      <c r="E42" s="107"/>
      <c r="F42" s="108"/>
      <c r="G42" s="109"/>
      <c r="H42" s="109"/>
      <c r="I42" s="259" t="str">
        <f ca="1">AO77</f>
        <v>*** DEZESSETE REAIS  E VINTE E SETE CENTAVOS ***</v>
      </c>
      <c r="J42" s="259"/>
      <c r="K42" s="259"/>
      <c r="L42" s="259"/>
      <c r="M42" s="259"/>
      <c r="N42" s="259"/>
      <c r="O42" s="259"/>
      <c r="P42" s="259"/>
      <c r="Q42" s="259"/>
      <c r="R42" s="7"/>
      <c r="S42" s="252"/>
      <c r="T42" s="253"/>
      <c r="U42" s="253"/>
      <c r="V42" s="253"/>
      <c r="W42" s="253"/>
      <c r="X42" s="248"/>
      <c r="Y42" s="248"/>
      <c r="Z42" s="248"/>
      <c r="AA42" s="248"/>
      <c r="AB42" s="248"/>
      <c r="AC42" s="248"/>
      <c r="AD42" s="248"/>
      <c r="AE42" s="251"/>
    </row>
    <row r="43" spans="1:32" s="20" customFormat="1" ht="12.95" customHeight="1" x14ac:dyDescent="0.2">
      <c r="A43" s="2"/>
      <c r="B43" s="105" t="s">
        <v>65</v>
      </c>
      <c r="C43" s="106"/>
      <c r="D43" s="106"/>
      <c r="E43" s="107"/>
      <c r="F43" s="108"/>
      <c r="G43" s="109"/>
      <c r="H43" s="109"/>
      <c r="I43" s="259"/>
      <c r="J43" s="259"/>
      <c r="K43" s="259"/>
      <c r="L43" s="259"/>
      <c r="M43" s="259"/>
      <c r="N43" s="259"/>
      <c r="O43" s="259"/>
      <c r="P43" s="259"/>
      <c r="Q43" s="259"/>
      <c r="R43" s="114"/>
      <c r="S43" s="252">
        <v>3</v>
      </c>
      <c r="T43" s="247" t="s">
        <v>66</v>
      </c>
      <c r="U43" s="247"/>
      <c r="V43" s="247"/>
      <c r="W43" s="247"/>
      <c r="X43" s="248">
        <f>+AM109</f>
        <v>146.84</v>
      </c>
      <c r="Y43" s="248"/>
      <c r="Z43" s="248">
        <f>+AR109</f>
        <v>29.36</v>
      </c>
      <c r="AA43" s="248"/>
      <c r="AB43" s="248">
        <f>+AT109</f>
        <v>58.73</v>
      </c>
      <c r="AC43" s="248">
        <f>+AV109</f>
        <v>29.36</v>
      </c>
      <c r="AD43" s="248">
        <f>+AX109</f>
        <v>58.73</v>
      </c>
      <c r="AE43" s="251">
        <f>+AZ109</f>
        <v>73.42</v>
      </c>
    </row>
    <row r="44" spans="1:32" ht="12.95" customHeight="1" x14ac:dyDescent="0.2">
      <c r="A44" s="2"/>
      <c r="B44" s="115"/>
      <c r="C44" s="116"/>
      <c r="D44" s="116"/>
      <c r="E44" s="117"/>
      <c r="F44" s="118"/>
      <c r="G44" s="116"/>
      <c r="H44" s="116"/>
      <c r="I44" s="259"/>
      <c r="J44" s="259"/>
      <c r="K44" s="259"/>
      <c r="L44" s="259"/>
      <c r="M44" s="259"/>
      <c r="N44" s="259"/>
      <c r="O44" s="259"/>
      <c r="P44" s="259"/>
      <c r="Q44" s="259"/>
      <c r="R44" s="7"/>
      <c r="S44" s="252"/>
      <c r="T44" s="247"/>
      <c r="U44" s="247"/>
      <c r="V44" s="247"/>
      <c r="W44" s="247"/>
      <c r="X44" s="248"/>
      <c r="Y44" s="248"/>
      <c r="Z44" s="248"/>
      <c r="AA44" s="248"/>
      <c r="AB44" s="248"/>
      <c r="AC44" s="248"/>
      <c r="AD44" s="248"/>
      <c r="AE44" s="251"/>
    </row>
    <row r="45" spans="1:32" ht="12.95" customHeight="1" x14ac:dyDescent="0.2">
      <c r="A45" s="2"/>
      <c r="B45" s="115" t="s">
        <v>67</v>
      </c>
      <c r="C45" s="254">
        <v>46249</v>
      </c>
      <c r="D45" s="254"/>
      <c r="E45" s="254"/>
      <c r="F45" s="118" t="s">
        <v>68</v>
      </c>
      <c r="I45" s="110" t="s">
        <v>69</v>
      </c>
      <c r="J45" s="119"/>
      <c r="K45" s="119"/>
      <c r="L45" s="119"/>
      <c r="M45" s="120"/>
      <c r="N45" s="120"/>
      <c r="O45" s="120"/>
      <c r="P45" s="120"/>
      <c r="Q45" s="121"/>
      <c r="R45" s="7"/>
      <c r="S45" s="252"/>
      <c r="T45" s="247"/>
      <c r="U45" s="247"/>
      <c r="V45" s="247"/>
      <c r="W45" s="247"/>
      <c r="X45" s="248"/>
      <c r="Y45" s="248"/>
      <c r="Z45" s="248"/>
      <c r="AA45" s="248"/>
      <c r="AB45" s="248"/>
      <c r="AC45" s="248"/>
      <c r="AD45" s="248"/>
      <c r="AE45" s="251"/>
    </row>
    <row r="46" spans="1:32" ht="12.95" customHeight="1" x14ac:dyDescent="0.2">
      <c r="A46" s="2"/>
      <c r="B46" s="122"/>
      <c r="C46" s="109"/>
      <c r="D46" s="109"/>
      <c r="E46" s="123"/>
      <c r="F46" s="255">
        <f>C45</f>
        <v>46249</v>
      </c>
      <c r="G46" s="255"/>
      <c r="H46" s="255"/>
      <c r="I46" s="256">
        <f>+AC8</f>
        <v>46387</v>
      </c>
      <c r="J46" s="256"/>
      <c r="K46" s="256"/>
      <c r="L46" s="256"/>
      <c r="M46" s="119" t="s">
        <v>70</v>
      </c>
      <c r="O46" s="111"/>
      <c r="P46" s="124"/>
      <c r="Q46" s="125"/>
      <c r="R46" s="7"/>
      <c r="S46" s="252">
        <v>4</v>
      </c>
      <c r="T46" s="257" t="s">
        <v>71</v>
      </c>
      <c r="U46" s="257"/>
      <c r="V46" s="257"/>
      <c r="W46" s="257"/>
      <c r="X46" s="248">
        <f>+AM110</f>
        <v>129.57</v>
      </c>
      <c r="Y46" s="248"/>
      <c r="Z46" s="248">
        <f>+AR110</f>
        <v>25.91</v>
      </c>
      <c r="AA46" s="248"/>
      <c r="AB46" s="248">
        <f>+AT110</f>
        <v>51.82</v>
      </c>
      <c r="AC46" s="248">
        <f>+AV110</f>
        <v>25.91</v>
      </c>
      <c r="AD46" s="248">
        <f>+AX110</f>
        <v>51.82</v>
      </c>
      <c r="AE46" s="251">
        <f>+AZ110</f>
        <v>64.78</v>
      </c>
    </row>
    <row r="47" spans="1:32" s="20" customFormat="1" ht="12.95" customHeight="1" x14ac:dyDescent="0.2">
      <c r="A47" s="2"/>
      <c r="B47" s="122"/>
      <c r="C47" s="109"/>
      <c r="D47" s="109"/>
      <c r="E47" s="123"/>
      <c r="F47" s="108"/>
      <c r="G47" s="109"/>
      <c r="H47" s="109"/>
      <c r="I47" s="126"/>
      <c r="J47" s="119"/>
      <c r="K47" s="119"/>
      <c r="L47" s="119"/>
      <c r="M47" s="119"/>
      <c r="N47" s="119"/>
      <c r="O47" s="120"/>
      <c r="P47" s="120"/>
      <c r="Q47" s="127"/>
      <c r="R47" s="114"/>
      <c r="S47" s="252"/>
      <c r="T47" s="257"/>
      <c r="U47" s="257"/>
      <c r="V47" s="257"/>
      <c r="W47" s="257"/>
      <c r="X47" s="248"/>
      <c r="Y47" s="248"/>
      <c r="Z47" s="248"/>
      <c r="AA47" s="248"/>
      <c r="AB47" s="248"/>
      <c r="AC47" s="248"/>
      <c r="AD47" s="248"/>
      <c r="AE47" s="251"/>
    </row>
    <row r="48" spans="1:32" ht="12.95" customHeight="1" x14ac:dyDescent="0.2">
      <c r="A48" s="2"/>
      <c r="B48" s="122"/>
      <c r="C48" s="109"/>
      <c r="D48" s="109"/>
      <c r="E48" s="123"/>
      <c r="F48" s="108"/>
      <c r="G48" s="109"/>
      <c r="H48" s="109"/>
      <c r="I48" s="126" t="s">
        <v>72</v>
      </c>
      <c r="J48" s="111"/>
      <c r="K48" s="260">
        <f>C45</f>
        <v>46249</v>
      </c>
      <c r="L48" s="260"/>
      <c r="M48" s="260"/>
      <c r="N48" s="128"/>
      <c r="O48" s="120"/>
      <c r="P48" s="120"/>
      <c r="Q48" s="127"/>
      <c r="R48" s="7"/>
      <c r="S48" s="252"/>
      <c r="T48" s="257"/>
      <c r="U48" s="257"/>
      <c r="V48" s="257"/>
      <c r="W48" s="257"/>
      <c r="X48" s="248"/>
      <c r="Y48" s="248"/>
      <c r="Z48" s="248"/>
      <c r="AA48" s="248"/>
      <c r="AB48" s="248"/>
      <c r="AC48" s="248"/>
      <c r="AD48" s="248"/>
      <c r="AE48" s="251"/>
    </row>
    <row r="49" spans="1:62" ht="12.95" customHeight="1" x14ac:dyDescent="0.2">
      <c r="A49" s="2"/>
      <c r="B49" s="122"/>
      <c r="C49" s="109"/>
      <c r="D49" s="109"/>
      <c r="E49" s="123"/>
      <c r="F49" s="108"/>
      <c r="G49" s="109"/>
      <c r="H49" s="109"/>
      <c r="I49" s="129"/>
      <c r="J49" s="111"/>
      <c r="K49" s="130"/>
      <c r="L49" s="130"/>
      <c r="M49" s="130"/>
      <c r="N49" s="130"/>
      <c r="O49" s="120"/>
      <c r="P49" s="120"/>
      <c r="Q49" s="127"/>
      <c r="R49" s="7"/>
      <c r="S49" s="269">
        <v>5</v>
      </c>
      <c r="T49" s="270" t="s">
        <v>163</v>
      </c>
      <c r="U49" s="270"/>
      <c r="V49" s="270"/>
      <c r="W49" s="270"/>
      <c r="X49" s="261">
        <f>+AM111</f>
        <v>86.38</v>
      </c>
      <c r="Y49" s="261"/>
      <c r="Z49" s="261">
        <f>+AR111</f>
        <v>17.27</v>
      </c>
      <c r="AA49" s="261"/>
      <c r="AB49" s="261">
        <f>+AT111</f>
        <v>34.549999999999997</v>
      </c>
      <c r="AC49" s="261">
        <f>+AV111</f>
        <v>17.27</v>
      </c>
      <c r="AD49" s="261">
        <f>+AX111</f>
        <v>34.549999999999997</v>
      </c>
      <c r="AE49" s="263">
        <f>+AZ111</f>
        <v>43.19</v>
      </c>
    </row>
    <row r="50" spans="1:62" ht="12.95" customHeight="1" x14ac:dyDescent="0.2">
      <c r="A50" s="2"/>
      <c r="B50" s="122"/>
      <c r="C50" s="109"/>
      <c r="D50" s="109"/>
      <c r="E50" s="123"/>
      <c r="F50" s="108"/>
      <c r="G50" s="109"/>
      <c r="H50" s="109"/>
      <c r="I50" s="131"/>
      <c r="J50" s="132"/>
      <c r="K50" s="132"/>
      <c r="L50" s="132"/>
      <c r="M50" s="132"/>
      <c r="N50" s="132"/>
      <c r="O50" s="120"/>
      <c r="P50" s="120"/>
      <c r="Q50" s="127"/>
      <c r="R50" s="7"/>
      <c r="S50" s="269"/>
      <c r="T50" s="270"/>
      <c r="U50" s="270"/>
      <c r="V50" s="270"/>
      <c r="W50" s="270"/>
      <c r="X50" s="261"/>
      <c r="Y50" s="261"/>
      <c r="Z50" s="261"/>
      <c r="AA50" s="261"/>
      <c r="AB50" s="261"/>
      <c r="AC50" s="261"/>
      <c r="AD50" s="261"/>
      <c r="AE50" s="263"/>
    </row>
    <row r="51" spans="1:62" x14ac:dyDescent="0.2">
      <c r="A51" s="2"/>
      <c r="B51" s="264" t="s">
        <v>74</v>
      </c>
      <c r="C51" s="264"/>
      <c r="D51" s="264"/>
      <c r="E51" s="264"/>
      <c r="F51" s="265" t="s">
        <v>74</v>
      </c>
      <c r="G51" s="265"/>
      <c r="H51" s="265"/>
      <c r="I51" s="266" t="s">
        <v>74</v>
      </c>
      <c r="J51" s="266"/>
      <c r="K51" s="266"/>
      <c r="L51" s="266"/>
      <c r="M51" s="266"/>
      <c r="N51" s="266"/>
      <c r="O51" s="266"/>
      <c r="P51" s="266"/>
      <c r="Q51" s="266"/>
      <c r="R51" s="7"/>
      <c r="S51" s="269"/>
      <c r="T51" s="270"/>
      <c r="U51" s="270"/>
      <c r="V51" s="270"/>
      <c r="W51" s="270"/>
      <c r="X51" s="261"/>
      <c r="Y51" s="261"/>
      <c r="Z51" s="261"/>
      <c r="AA51" s="261"/>
      <c r="AB51" s="261"/>
      <c r="AC51" s="261"/>
      <c r="AD51" s="261"/>
      <c r="AE51" s="263"/>
    </row>
    <row r="52" spans="1:62" ht="13.5" thickTop="1" x14ac:dyDescent="0.2">
      <c r="A52" s="2"/>
      <c r="V52" s="113"/>
    </row>
    <row r="53" spans="1:62" hidden="1" x14ac:dyDescent="0.2">
      <c r="A53" s="2"/>
      <c r="V53" s="113"/>
      <c r="AB53" s="6"/>
      <c r="AC53" s="6"/>
      <c r="AD53" s="6"/>
      <c r="AE53" s="6"/>
      <c r="AF53" s="6"/>
      <c r="AG53" s="6"/>
    </row>
    <row r="54" spans="1:62" hidden="1" x14ac:dyDescent="0.2">
      <c r="A54" s="2"/>
      <c r="AB54" s="6"/>
      <c r="AC54" s="6"/>
      <c r="AD54" s="6"/>
      <c r="AE54" s="6"/>
      <c r="AF54" s="6"/>
      <c r="AG54" s="6"/>
    </row>
    <row r="55" spans="1:62" s="20" customFormat="1" hidden="1" x14ac:dyDescent="0.2">
      <c r="A55" s="2"/>
      <c r="AB55" s="6"/>
      <c r="AC55" s="6"/>
      <c r="AD55" s="6"/>
      <c r="AE55" s="6"/>
      <c r="AF55" s="6"/>
      <c r="AG55" s="6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</row>
    <row r="56" spans="1:62" hidden="1" x14ac:dyDescent="0.2"/>
    <row r="57" spans="1:62" hidden="1" x14ac:dyDescent="0.2">
      <c r="AJ57" s="77">
        <f>AE29</f>
        <v>17.27</v>
      </c>
      <c r="AL57" s="77" t="str">
        <f>TEXT(AE29,"0000,00")</f>
        <v>0017,27</v>
      </c>
    </row>
    <row r="58" spans="1:62" hidden="1" x14ac:dyDescent="0.2"/>
    <row r="59" spans="1:62" hidden="1" x14ac:dyDescent="0.2"/>
    <row r="60" spans="1:62" hidden="1" x14ac:dyDescent="0.2"/>
    <row r="61" spans="1:62" hidden="1" x14ac:dyDescent="0.2"/>
    <row r="62" spans="1:62" hidden="1" x14ac:dyDescent="0.2"/>
    <row r="63" spans="1:62" hidden="1" x14ac:dyDescent="0.2">
      <c r="AG63" s="20"/>
      <c r="AH63" s="20"/>
      <c r="AI63" s="20"/>
      <c r="AJ63" s="20"/>
      <c r="AK63" s="20"/>
      <c r="AL63" s="20"/>
      <c r="AM63" s="20"/>
      <c r="AN63" s="20"/>
      <c r="AO63" s="20"/>
      <c r="AP63" s="20"/>
      <c r="AQ63" s="20"/>
      <c r="AR63" s="20"/>
      <c r="AS63" s="20"/>
      <c r="AT63" s="20"/>
      <c r="AU63" s="20"/>
      <c r="AV63" s="20"/>
      <c r="AW63" s="20"/>
      <c r="AX63" s="20"/>
      <c r="AY63" s="20"/>
      <c r="AZ63" s="20"/>
      <c r="BA63" s="20"/>
      <c r="BB63" s="20"/>
      <c r="BC63" s="20"/>
      <c r="BD63" s="20"/>
      <c r="BE63" s="20"/>
      <c r="BF63" s="20"/>
      <c r="BG63" s="20"/>
      <c r="BH63" s="20"/>
      <c r="BI63" s="20"/>
      <c r="BJ63" s="20"/>
    </row>
    <row r="64" spans="1:62" hidden="1" x14ac:dyDescent="0.2">
      <c r="AI64" s="1">
        <v>0</v>
      </c>
      <c r="AJ64" s="1" t="s">
        <v>50</v>
      </c>
      <c r="AL64" s="1" t="str">
        <f>TEXT(AM64,"0000,00")</f>
        <v>2005,02</v>
      </c>
      <c r="AM64" s="1">
        <v>2005.02</v>
      </c>
    </row>
    <row r="65" spans="33:62" ht="9.9499999999999993" hidden="1" customHeight="1" x14ac:dyDescent="0.2">
      <c r="AI65" s="1">
        <v>1</v>
      </c>
      <c r="AJ65" s="1" t="s">
        <v>75</v>
      </c>
      <c r="AM65" s="1" t="s">
        <v>50</v>
      </c>
      <c r="AO65" s="1" t="str">
        <f>IF(AM65&lt;&gt;"","e","")</f>
        <v>e</v>
      </c>
    </row>
    <row r="66" spans="33:62" ht="9.9499999999999993" hidden="1" customHeight="1" x14ac:dyDescent="0.2">
      <c r="AI66" s="1">
        <v>2</v>
      </c>
      <c r="AJ66" s="1" t="s">
        <v>76</v>
      </c>
      <c r="AK66" s="1" t="s">
        <v>77</v>
      </c>
      <c r="AL66" s="1" t="str">
        <f>IF(MID($AL$57,$AL$75-1,1)="1",MID($AL$57,$AL75-1,2),MID($AL$57,$AL$75,1))</f>
        <v>7</v>
      </c>
      <c r="AM66" s="1" t="str">
        <f ca="1">LOOKUP(VALUE(AL66),$AI$64:$AI$103,$AJ$64:$AJ$8727)</f>
        <v>sete</v>
      </c>
      <c r="AN66" s="1" t="str">
        <f t="shared" ref="AN66:AN71" si="8">IF(AL66="0","F","T")</f>
        <v>T</v>
      </c>
      <c r="AO66" s="1" t="str">
        <f ca="1">IF(AND(AL67="0",AL69="0",AL71="0"),AM70&amp;" e "&amp;AM68&amp;AL77&amp;AM66&amp;AM77,AM67&amp;" e "&amp;AM66&amp;AM77)</f>
        <v xml:space="preserve">vinte e sete centavos </v>
      </c>
    </row>
    <row r="67" spans="33:62" ht="9.9499999999999993" hidden="1" customHeight="1" x14ac:dyDescent="0.2">
      <c r="AG67" s="20"/>
      <c r="AH67" s="20"/>
      <c r="AI67" s="1">
        <v>3</v>
      </c>
      <c r="AJ67" s="1" t="s">
        <v>78</v>
      </c>
      <c r="AK67" s="1" t="s">
        <v>79</v>
      </c>
      <c r="AL67" s="1" t="str">
        <f>IF(MID($AL$57,$AL$75-1,1)&gt;"1",MID($AL$57,$AL$75-1,1),"0")</f>
        <v>2</v>
      </c>
      <c r="AM67" s="1" t="str">
        <f ca="1">LOOKUP(VALUE(AL67)*10,$AI$64:$AI$103,$AJ$64:$AJ$8727)</f>
        <v>vinte</v>
      </c>
      <c r="AN67" s="1" t="str">
        <f t="shared" si="8"/>
        <v>T</v>
      </c>
      <c r="AP67" s="20"/>
      <c r="AQ67" s="20"/>
      <c r="AR67" s="20"/>
      <c r="AS67" s="20"/>
      <c r="AT67" s="20"/>
      <c r="AU67" s="20"/>
      <c r="AV67" s="20"/>
      <c r="AW67" s="20"/>
      <c r="AX67" s="20"/>
      <c r="AY67" s="20"/>
      <c r="AZ67" s="20"/>
      <c r="BA67" s="20"/>
      <c r="BB67" s="20"/>
      <c r="BC67" s="20"/>
      <c r="BD67" s="20"/>
      <c r="BE67" s="20"/>
      <c r="BF67" s="20"/>
      <c r="BG67" s="20"/>
      <c r="BH67" s="20"/>
      <c r="BI67" s="20"/>
      <c r="BJ67" s="20"/>
    </row>
    <row r="68" spans="33:62" ht="9.9499999999999993" hidden="1" customHeight="1" x14ac:dyDescent="0.2">
      <c r="AI68" s="1">
        <v>4</v>
      </c>
      <c r="AJ68" s="1" t="s">
        <v>80</v>
      </c>
      <c r="AK68" s="1" t="s">
        <v>81</v>
      </c>
      <c r="AL68" s="1" t="str">
        <f>IF(MID($AL$57,$AL$75-4,1)="1",MID($AL$57,$AL$75-4,2),MID($AL$57,$AL$75-3,1))</f>
        <v>17</v>
      </c>
      <c r="AM68" s="1" t="str">
        <f ca="1">LOOKUP(VALUE(AL68),$AI$64:$AI$103,$AJ$64:$AJ$8727)</f>
        <v>dezessete</v>
      </c>
      <c r="AN68" s="1" t="str">
        <f t="shared" si="8"/>
        <v>T</v>
      </c>
    </row>
    <row r="69" spans="33:62" ht="9.9499999999999993" hidden="1" customHeight="1" x14ac:dyDescent="0.2">
      <c r="AI69" s="1">
        <v>5</v>
      </c>
      <c r="AJ69" s="1" t="s">
        <v>82</v>
      </c>
      <c r="AK69" s="1" t="s">
        <v>83</v>
      </c>
      <c r="AL69" s="1" t="str">
        <f>IF(MID($AL$57,$AL$75-4,1)&gt;"1",MID($AL$57,$AL$75-4,1),"0")</f>
        <v>0</v>
      </c>
      <c r="AM69" s="1" t="str">
        <f>LOOKUP(VALUE(AL69)*10,$AI$64:$AI$103,$AJ$64:$AJ$103)</f>
        <v xml:space="preserve"> </v>
      </c>
      <c r="AN69" s="1" t="str">
        <f t="shared" si="8"/>
        <v>F</v>
      </c>
    </row>
    <row r="70" spans="33:62" ht="9.9499999999999993" hidden="1" customHeight="1" x14ac:dyDescent="0.2">
      <c r="AI70" s="1">
        <v>6</v>
      </c>
      <c r="AJ70" s="1" t="s">
        <v>84</v>
      </c>
      <c r="AK70" s="1" t="s">
        <v>85</v>
      </c>
      <c r="AL70" s="1" t="str">
        <f>IF($AL$75&gt;5,MID($AL$57,$AL$75-5,1),"0")</f>
        <v>0</v>
      </c>
      <c r="AM70" s="1" t="str">
        <f ca="1">LOOKUP(VALUE(AL70)*100,$AI$64:$AI$103,$AJ$64:$AJ$8727)</f>
        <v xml:space="preserve"> </v>
      </c>
      <c r="AN70" s="1" t="str">
        <f t="shared" si="8"/>
        <v>F</v>
      </c>
    </row>
    <row r="71" spans="33:62" ht="9.9499999999999993" hidden="1" customHeight="1" x14ac:dyDescent="0.2">
      <c r="AI71" s="1">
        <v>7</v>
      </c>
      <c r="AJ71" s="1" t="s">
        <v>86</v>
      </c>
      <c r="AK71" s="1" t="s">
        <v>87</v>
      </c>
      <c r="AL71" s="1" t="str">
        <f>IF($AL$75&gt;6,MID($AL$57,$AL$75-6,1),"0")</f>
        <v>0</v>
      </c>
      <c r="AM71" s="1" t="str">
        <f>LOOKUP(VALUE(AL71)*1000,$AI$64:$AI$103,$AJ$64:$AJ$103)</f>
        <v xml:space="preserve"> </v>
      </c>
      <c r="AN71" s="1" t="str">
        <f t="shared" si="8"/>
        <v>F</v>
      </c>
    </row>
    <row r="72" spans="33:62" ht="9.9499999999999993" hidden="1" customHeight="1" x14ac:dyDescent="0.2">
      <c r="AI72" s="1">
        <v>8</v>
      </c>
      <c r="AJ72" s="1" t="s">
        <v>88</v>
      </c>
    </row>
    <row r="73" spans="33:62" ht="9.9499999999999993" hidden="1" customHeight="1" x14ac:dyDescent="0.2">
      <c r="AG73" s="6"/>
      <c r="AH73" s="133"/>
      <c r="AI73" s="1">
        <v>9</v>
      </c>
      <c r="AJ73" s="1" t="s">
        <v>89</v>
      </c>
      <c r="AM73" s="1" t="str">
        <f>MID(AL64,AL75-5,3)</f>
        <v>005</v>
      </c>
    </row>
    <row r="74" spans="33:62" ht="9.9499999999999993" hidden="1" customHeight="1" x14ac:dyDescent="0.2">
      <c r="AG74" s="6"/>
      <c r="AH74" s="133"/>
      <c r="AI74" s="1">
        <v>10</v>
      </c>
      <c r="AJ74" s="1" t="s">
        <v>90</v>
      </c>
    </row>
    <row r="75" spans="33:62" ht="9.9499999999999993" hidden="1" customHeight="1" x14ac:dyDescent="0.2">
      <c r="AG75" s="6"/>
      <c r="AH75" s="133"/>
      <c r="AI75" s="1">
        <v>11</v>
      </c>
      <c r="AJ75" s="1" t="s">
        <v>91</v>
      </c>
      <c r="AL75" s="1">
        <f>VALUE(LEN(AL57))</f>
        <v>7</v>
      </c>
      <c r="AP75" s="20"/>
      <c r="AQ75" s="20"/>
      <c r="AR75" s="20"/>
      <c r="AS75" s="20"/>
      <c r="AT75" s="20"/>
      <c r="AU75" s="20"/>
      <c r="AV75" s="20"/>
      <c r="AW75" s="20"/>
      <c r="AX75" s="20"/>
      <c r="AY75" s="20"/>
      <c r="AZ75" s="20"/>
      <c r="BA75" s="20"/>
      <c r="BB75" s="20"/>
      <c r="BC75" s="20"/>
      <c r="BD75" s="20"/>
      <c r="BE75" s="20"/>
      <c r="BF75" s="20"/>
      <c r="BG75" s="20"/>
      <c r="BH75" s="20"/>
      <c r="BI75" s="20"/>
      <c r="BJ75" s="20"/>
    </row>
    <row r="76" spans="33:62" ht="9.9499999999999993" hidden="1" customHeight="1" x14ac:dyDescent="0.2">
      <c r="AI76" s="1">
        <v>12</v>
      </c>
      <c r="AJ76" s="1" t="s">
        <v>92</v>
      </c>
      <c r="AK76" s="1" t="s">
        <v>93</v>
      </c>
      <c r="AL76" s="1" t="s">
        <v>94</v>
      </c>
      <c r="AM76" s="1" t="s">
        <v>95</v>
      </c>
      <c r="AO76" s="1" t="s">
        <v>96</v>
      </c>
    </row>
    <row r="77" spans="33:62" ht="9.9499999999999993" hidden="1" customHeight="1" x14ac:dyDescent="0.2">
      <c r="AI77" s="1">
        <v>13</v>
      </c>
      <c r="AJ77" s="1" t="s">
        <v>97</v>
      </c>
      <c r="AL77" s="1" t="str">
        <f>IF(VALUE(MID($AL$57,$AL$75-5,4))&gt;1," reais "," real ")</f>
        <v xml:space="preserve"> reais </v>
      </c>
      <c r="AM77" s="1" t="str">
        <f>IF(VALUE(MID($AL$57,$AL$75-1,2))&gt;1," centavos "," centavo ")</f>
        <v xml:space="preserve"> centavos </v>
      </c>
      <c r="AO77" s="182" t="str">
        <f ca="1">UPPER("*** "&amp;AM78&amp;AM80&amp;AM79&amp;"***")</f>
        <v>*** DEZESSETE REAIS  E VINTE E SETE CENTAVOS ***</v>
      </c>
    </row>
    <row r="78" spans="33:62" ht="9.9499999999999993" hidden="1" customHeight="1" x14ac:dyDescent="0.2">
      <c r="AI78" s="1">
        <v>14</v>
      </c>
      <c r="AJ78" s="1" t="s">
        <v>98</v>
      </c>
      <c r="AL78" s="1" t="s">
        <v>93</v>
      </c>
      <c r="AM78" s="1" t="str">
        <f>IF(AN71="T",AM71&amp;", ","")</f>
        <v/>
      </c>
    </row>
    <row r="79" spans="33:62" ht="9.9499999999999993" hidden="1" customHeight="1" x14ac:dyDescent="0.2">
      <c r="AI79" s="1">
        <v>15</v>
      </c>
      <c r="AJ79" s="1" t="s">
        <v>99</v>
      </c>
      <c r="AK79" s="1" t="str">
        <f>AN66&amp;AN67</f>
        <v>TT</v>
      </c>
      <c r="AL79" s="1" t="s">
        <v>100</v>
      </c>
      <c r="AM79" s="1" t="str">
        <f ca="1">IF(AN66&amp;AN67="TT"," e "&amp;AM67&amp;" e "&amp;AM66&amp;AM77,IF(AN66&amp;AN67="FF","",IF(AN66&amp;AN67="TF"," e "&amp;AM66&amp;AM77,IF(AN66&amp;AN67="FT"," e "&amp;AM67&amp;AM77))))</f>
        <v xml:space="preserve"> e vinte e sete centavos </v>
      </c>
    </row>
    <row r="80" spans="33:62" ht="9.9499999999999993" hidden="1" customHeight="1" x14ac:dyDescent="0.2">
      <c r="AI80" s="1">
        <v>16</v>
      </c>
      <c r="AJ80" s="1" t="s">
        <v>101</v>
      </c>
      <c r="AK80" s="1" t="str">
        <f>AN68&amp;AN69&amp;AN70</f>
        <v>TFF</v>
      </c>
      <c r="AL80" s="1" t="s">
        <v>102</v>
      </c>
      <c r="AM80" s="1" t="str">
        <f ca="1">IF(AN68&amp;AN69&amp;AN70="TTT",AM70&amp;" e "&amp;AM69&amp;" e "&amp;AM68&amp;AL77,IF(AN68&amp;AN69&amp;AN70="FTT",AM70&amp;" e "&amp;AM69&amp;AL77,IF(AN68&amp;AN69&amp;AN70="FFT",AM70&amp;AL77,IF(AN68&amp;AN69&amp;AN70="TTF",AM69&amp;" e "&amp;AM68&amp;AL77,IF(AN68&amp;AN69&amp;AN70="TFT",AM70&amp;" e "&amp;AM68&amp;AL77,IF(AN68&amp;AN69&amp;AN70="TFF",AM68&amp;AL77,IF(AN68&amp;AN69&amp;AN70="FFF"," ",IF(AN68&amp;AN69&amp;AN70="FTF",AM69&amp;AL77," "))))))))</f>
        <v xml:space="preserve">dezessete reais </v>
      </c>
    </row>
    <row r="81" spans="33:75" ht="9.9499999999999993" hidden="1" customHeight="1" x14ac:dyDescent="0.2">
      <c r="AI81" s="1">
        <v>17</v>
      </c>
      <c r="AJ81" s="1" t="s">
        <v>103</v>
      </c>
    </row>
    <row r="82" spans="33:75" ht="9.9499999999999993" hidden="1" customHeight="1" x14ac:dyDescent="0.2">
      <c r="AI82" s="1">
        <v>18</v>
      </c>
      <c r="AJ82" s="1" t="s">
        <v>104</v>
      </c>
    </row>
    <row r="83" spans="33:75" ht="9.9499999999999993" hidden="1" customHeight="1" x14ac:dyDescent="0.2">
      <c r="AI83" s="1">
        <v>19</v>
      </c>
      <c r="AJ83" s="1" t="s">
        <v>105</v>
      </c>
      <c r="AL83" s="134" t="s">
        <v>106</v>
      </c>
      <c r="AM83" s="1" t="str">
        <f ca="1">AM70&amp;" e "&amp;AM69&amp;" e "&amp;AM68&amp;AL77</f>
        <v xml:space="preserve">  e   e dezessete reais </v>
      </c>
      <c r="AO83" s="1" t="s">
        <v>107</v>
      </c>
    </row>
    <row r="84" spans="33:75" s="38" customFormat="1" ht="9.9499999999999993" hidden="1" customHeight="1" x14ac:dyDescent="0.2">
      <c r="AG84" s="1"/>
      <c r="AH84" s="1"/>
      <c r="AI84" s="1">
        <v>20</v>
      </c>
      <c r="AJ84" s="1" t="s">
        <v>108</v>
      </c>
      <c r="AK84" s="1"/>
      <c r="AL84" s="134" t="s">
        <v>109</v>
      </c>
      <c r="AM84" s="1" t="str">
        <f ca="1">AM70&amp;" e "&amp;AM69&amp;AL77</f>
        <v xml:space="preserve">  e   reais </v>
      </c>
      <c r="AN84" s="1"/>
      <c r="AO84" s="1" t="s">
        <v>110</v>
      </c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35"/>
      <c r="BL84" s="135"/>
      <c r="BM84" s="135"/>
      <c r="BN84" s="135"/>
      <c r="BO84" s="135"/>
      <c r="BP84" s="135"/>
      <c r="BQ84" s="135"/>
      <c r="BR84" s="135"/>
      <c r="BS84" s="135"/>
      <c r="BT84" s="135"/>
      <c r="BU84" s="135"/>
      <c r="BV84" s="135"/>
      <c r="BW84" s="135"/>
    </row>
    <row r="85" spans="33:75" s="38" customFormat="1" ht="9.9499999999999993" hidden="1" customHeight="1" x14ac:dyDescent="0.2">
      <c r="AG85" s="1"/>
      <c r="AH85" s="1"/>
      <c r="AI85" s="1">
        <v>30</v>
      </c>
      <c r="AJ85" s="1" t="s">
        <v>111</v>
      </c>
      <c r="AK85" s="1"/>
      <c r="AL85" s="134" t="s">
        <v>112</v>
      </c>
      <c r="AM85" s="1" t="str">
        <f ca="1">AM70&amp;AL77</f>
        <v xml:space="preserve">  reais </v>
      </c>
      <c r="AN85" s="1"/>
      <c r="AO85" s="1" t="s">
        <v>113</v>
      </c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35"/>
      <c r="BL85" s="135"/>
      <c r="BM85" s="135"/>
      <c r="BN85" s="135"/>
      <c r="BO85" s="135"/>
      <c r="BP85" s="135"/>
      <c r="BQ85" s="135"/>
      <c r="BR85" s="135"/>
      <c r="BS85" s="135"/>
      <c r="BT85" s="135"/>
      <c r="BU85" s="135"/>
      <c r="BV85" s="135"/>
      <c r="BW85" s="135"/>
    </row>
    <row r="86" spans="33:75" ht="9.9499999999999993" hidden="1" customHeight="1" x14ac:dyDescent="0.2">
      <c r="AI86" s="1">
        <v>40</v>
      </c>
      <c r="AJ86" s="1" t="s">
        <v>114</v>
      </c>
      <c r="AL86" s="134" t="s">
        <v>115</v>
      </c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</row>
    <row r="87" spans="33:75" ht="9.9499999999999993" hidden="1" customHeight="1" x14ac:dyDescent="0.2">
      <c r="AI87" s="1">
        <v>50</v>
      </c>
      <c r="AJ87" s="1" t="s">
        <v>116</v>
      </c>
      <c r="AL87" s="134" t="s">
        <v>117</v>
      </c>
      <c r="AM87" s="1" t="str">
        <f>AM69&amp;AL77</f>
        <v xml:space="preserve">  reais </v>
      </c>
      <c r="AO87" s="1" t="s">
        <v>118</v>
      </c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</row>
    <row r="88" spans="33:75" ht="9.9499999999999993" hidden="1" customHeight="1" x14ac:dyDescent="0.2">
      <c r="AI88" s="1">
        <v>60</v>
      </c>
      <c r="AJ88" s="1" t="s">
        <v>119</v>
      </c>
      <c r="AL88" s="134" t="s">
        <v>120</v>
      </c>
      <c r="AM88" s="1" t="str">
        <f ca="1">AM69&amp;" e "&amp;AM68&amp;AL77</f>
        <v xml:space="preserve">  e dezessete reais </v>
      </c>
      <c r="AO88" s="1" t="s">
        <v>121</v>
      </c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</row>
    <row r="89" spans="33:75" ht="9.9499999999999993" hidden="1" customHeight="1" x14ac:dyDescent="0.2">
      <c r="AI89" s="1">
        <v>70</v>
      </c>
      <c r="AJ89" s="1" t="s">
        <v>122</v>
      </c>
      <c r="AL89" s="134" t="s">
        <v>123</v>
      </c>
      <c r="AM89" s="1" t="str">
        <f ca="1">AM70&amp;" e "&amp;AM68&amp;AL77</f>
        <v xml:space="preserve">  e dezessete reais </v>
      </c>
      <c r="AO89" s="1" t="s">
        <v>124</v>
      </c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</row>
    <row r="90" spans="33:75" ht="9.9499999999999993" hidden="1" customHeight="1" x14ac:dyDescent="0.2">
      <c r="AI90" s="1">
        <v>80</v>
      </c>
      <c r="AJ90" s="1" t="s">
        <v>125</v>
      </c>
      <c r="AL90" s="134" t="s">
        <v>126</v>
      </c>
      <c r="AM90" s="1" t="str">
        <f>AM69&amp;AL77</f>
        <v xml:space="preserve">  reais </v>
      </c>
      <c r="AO90" s="1" t="s">
        <v>118</v>
      </c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</row>
    <row r="91" spans="33:75" ht="9.9499999999999993" hidden="1" customHeight="1" x14ac:dyDescent="0.2">
      <c r="AI91" s="1">
        <v>90</v>
      </c>
      <c r="AJ91" s="1" t="s">
        <v>127</v>
      </c>
      <c r="AL91" s="2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</row>
    <row r="92" spans="33:75" ht="9.9499999999999993" hidden="1" customHeight="1" x14ac:dyDescent="0.2">
      <c r="AI92" s="1">
        <v>100</v>
      </c>
      <c r="AJ92" s="1" t="s">
        <v>128</v>
      </c>
      <c r="AL92" s="134" t="s">
        <v>129</v>
      </c>
      <c r="AM92" s="1" t="str">
        <f ca="1">AM67&amp;" e "&amp;AM66&amp;AM77</f>
        <v xml:space="preserve">vinte e sete centavos </v>
      </c>
      <c r="AO92" s="1" t="s">
        <v>130</v>
      </c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</row>
    <row r="93" spans="33:75" ht="9.9499999999999993" hidden="1" customHeight="1" x14ac:dyDescent="0.2">
      <c r="AI93" s="1">
        <v>200</v>
      </c>
      <c r="AJ93" s="1" t="s">
        <v>131</v>
      </c>
      <c r="AL93" s="134" t="s">
        <v>132</v>
      </c>
      <c r="AM93" s="1" t="str">
        <f ca="1">AM67&amp;AM77</f>
        <v xml:space="preserve">vinte centavos </v>
      </c>
      <c r="AO93" s="1" t="s">
        <v>133</v>
      </c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</row>
    <row r="94" spans="33:75" ht="9.9499999999999993" hidden="1" customHeight="1" x14ac:dyDescent="0.2">
      <c r="AI94" s="1">
        <v>300</v>
      </c>
      <c r="AJ94" s="1" t="s">
        <v>134</v>
      </c>
      <c r="AL94" s="134" t="s">
        <v>135</v>
      </c>
      <c r="AM94" s="1" t="s">
        <v>136</v>
      </c>
      <c r="AO94" s="1" t="s">
        <v>136</v>
      </c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</row>
    <row r="95" spans="33:75" ht="9.9499999999999993" hidden="1" customHeight="1" x14ac:dyDescent="0.2">
      <c r="AI95" s="1">
        <v>400</v>
      </c>
      <c r="AJ95" s="1" t="s">
        <v>137</v>
      </c>
      <c r="AL95" s="134" t="s">
        <v>138</v>
      </c>
      <c r="AM95" s="1" t="str">
        <f ca="1">AM66&amp;AM77</f>
        <v xml:space="preserve">sete centavos </v>
      </c>
      <c r="AO95" s="1" t="s">
        <v>139</v>
      </c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</row>
    <row r="96" spans="33:75" ht="9.9499999999999993" hidden="1" customHeight="1" x14ac:dyDescent="0.2">
      <c r="AI96" s="1">
        <v>500</v>
      </c>
      <c r="AJ96" s="1" t="s">
        <v>140</v>
      </c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</row>
    <row r="97" spans="33:62" ht="9.9499999999999993" hidden="1" customHeight="1" x14ac:dyDescent="0.2">
      <c r="AI97" s="1">
        <v>600</v>
      </c>
      <c r="AJ97" s="1" t="s">
        <v>141</v>
      </c>
    </row>
    <row r="98" spans="33:62" ht="9.9499999999999993" hidden="1" customHeight="1" x14ac:dyDescent="0.2">
      <c r="AI98" s="1">
        <v>700</v>
      </c>
      <c r="AJ98" s="1" t="s">
        <v>142</v>
      </c>
    </row>
    <row r="99" spans="33:62" ht="9.9499999999999993" hidden="1" customHeight="1" x14ac:dyDescent="0.2">
      <c r="AI99" s="1">
        <v>800</v>
      </c>
      <c r="AJ99" s="1" t="s">
        <v>143</v>
      </c>
    </row>
    <row r="100" spans="33:62" ht="9.9499999999999993" hidden="1" customHeight="1" x14ac:dyDescent="0.2">
      <c r="AI100" s="1">
        <v>900</v>
      </c>
      <c r="AJ100" s="1" t="s">
        <v>144</v>
      </c>
    </row>
    <row r="101" spans="33:62" ht="9.9499999999999993" hidden="1" customHeight="1" x14ac:dyDescent="0.2">
      <c r="AI101" s="1">
        <v>1000</v>
      </c>
      <c r="AJ101" s="1" t="s">
        <v>145</v>
      </c>
    </row>
    <row r="102" spans="33:62" ht="9.9499999999999993" hidden="1" customHeight="1" x14ac:dyDescent="0.2">
      <c r="AI102" s="1">
        <v>2000</v>
      </c>
      <c r="AJ102" s="1" t="s">
        <v>146</v>
      </c>
    </row>
    <row r="103" spans="33:62" ht="9.9499999999999993" hidden="1" customHeight="1" x14ac:dyDescent="0.2">
      <c r="AI103" s="1">
        <v>3000</v>
      </c>
      <c r="AJ103" s="1" t="s">
        <v>147</v>
      </c>
    </row>
    <row r="104" spans="33:62" ht="31.5" hidden="1" customHeight="1" x14ac:dyDescent="0.2">
      <c r="AG104" s="38"/>
      <c r="AH104" s="38"/>
      <c r="AI104" s="38"/>
      <c r="AJ104" s="38"/>
      <c r="AK104" s="38"/>
      <c r="AL104" s="38"/>
      <c r="AM104" s="38"/>
      <c r="AN104" s="136" t="s">
        <v>21</v>
      </c>
      <c r="AO104" s="137" t="s">
        <v>148</v>
      </c>
      <c r="AP104" s="138" t="s">
        <v>29</v>
      </c>
      <c r="AQ104" s="267" t="s">
        <v>30</v>
      </c>
      <c r="AR104" s="267"/>
      <c r="AS104" s="267"/>
      <c r="AT104" s="267"/>
      <c r="AU104" s="268" t="s">
        <v>31</v>
      </c>
      <c r="AV104" s="268"/>
      <c r="AW104" s="268"/>
      <c r="AX104" s="268"/>
      <c r="AY104" s="262" t="s">
        <v>32</v>
      </c>
      <c r="AZ104" s="262"/>
      <c r="BA104" s="6"/>
      <c r="BB104" s="6"/>
      <c r="BC104" s="6"/>
      <c r="BD104" s="6"/>
      <c r="BE104" s="6"/>
      <c r="BF104" s="38"/>
      <c r="BG104" s="135"/>
      <c r="BH104" s="135"/>
      <c r="BI104" s="135"/>
      <c r="BJ104" s="135"/>
    </row>
    <row r="105" spans="33:62" ht="15.75" hidden="1" x14ac:dyDescent="0.2">
      <c r="AG105" s="38"/>
      <c r="AH105" s="38"/>
      <c r="AI105" s="38"/>
      <c r="AJ105" s="38"/>
      <c r="AK105" s="139" t="s">
        <v>149</v>
      </c>
      <c r="AL105" s="139"/>
      <c r="AM105" s="139"/>
      <c r="AN105" s="140"/>
      <c r="AO105" s="141"/>
      <c r="AP105" s="142" t="s">
        <v>150</v>
      </c>
      <c r="AQ105" s="143">
        <v>0.2</v>
      </c>
      <c r="AR105" s="144" t="s">
        <v>151</v>
      </c>
      <c r="AS105" s="143">
        <v>0.4</v>
      </c>
      <c r="AT105" s="144" t="s">
        <v>151</v>
      </c>
      <c r="AU105" s="145">
        <v>0.2</v>
      </c>
      <c r="AV105" s="146" t="s">
        <v>151</v>
      </c>
      <c r="AW105" s="145">
        <v>0.4</v>
      </c>
      <c r="AX105" s="146" t="s">
        <v>151</v>
      </c>
      <c r="AY105" s="147">
        <v>0.5</v>
      </c>
      <c r="AZ105" s="148" t="s">
        <v>151</v>
      </c>
      <c r="BA105" s="6"/>
      <c r="BB105" s="6"/>
      <c r="BC105" s="6"/>
      <c r="BD105" s="6"/>
      <c r="BE105" s="6"/>
      <c r="BF105" s="38"/>
      <c r="BG105" s="135"/>
      <c r="BH105" s="135"/>
      <c r="BI105" s="135"/>
      <c r="BJ105" s="135"/>
    </row>
    <row r="106" spans="33:62" ht="18.75" hidden="1" x14ac:dyDescent="0.2">
      <c r="AJ106" s="149" t="s">
        <v>31</v>
      </c>
      <c r="AK106" s="150" t="s">
        <v>152</v>
      </c>
      <c r="AL106" s="150" t="s">
        <v>153</v>
      </c>
      <c r="AM106" s="151" t="s">
        <v>154</v>
      </c>
      <c r="AN106" s="152"/>
      <c r="AO106" s="153"/>
      <c r="AP106" s="154" t="s">
        <v>154</v>
      </c>
      <c r="AQ106" s="155" t="s">
        <v>155</v>
      </c>
      <c r="AR106" s="155" t="s">
        <v>155</v>
      </c>
      <c r="AS106" s="155" t="s">
        <v>156</v>
      </c>
      <c r="AT106" s="155" t="s">
        <v>156</v>
      </c>
      <c r="AU106" s="156" t="s">
        <v>157</v>
      </c>
      <c r="AV106" s="156" t="s">
        <v>157</v>
      </c>
      <c r="AW106" s="157" t="s">
        <v>158</v>
      </c>
      <c r="AX106" s="157" t="s">
        <v>158</v>
      </c>
      <c r="AY106" s="158" t="s">
        <v>154</v>
      </c>
      <c r="AZ106" s="158" t="s">
        <v>154</v>
      </c>
      <c r="BA106" s="6"/>
      <c r="BB106" s="6"/>
      <c r="BC106" s="6"/>
      <c r="BD106" s="6"/>
      <c r="BE106" s="6"/>
      <c r="BG106" s="6"/>
      <c r="BH106" s="6"/>
      <c r="BI106" s="6"/>
      <c r="BJ106" s="6"/>
    </row>
    <row r="107" spans="33:62" ht="30" hidden="1" customHeight="1" x14ac:dyDescent="0.2">
      <c r="AJ107" s="159" t="s">
        <v>159</v>
      </c>
      <c r="AK107" s="160">
        <v>1</v>
      </c>
      <c r="AL107" s="161">
        <f>+(AC10*AK107)+AC10</f>
        <v>172.76</v>
      </c>
      <c r="AM107" s="162">
        <f>ROUNDDOWN(AL107,2)</f>
        <v>172.76</v>
      </c>
      <c r="AN107" s="163">
        <v>1</v>
      </c>
      <c r="AO107" s="164" t="s">
        <v>159</v>
      </c>
      <c r="AP107" s="165">
        <f>+AM107</f>
        <v>172.76</v>
      </c>
      <c r="AQ107" s="166">
        <f>+AQ105*AM107</f>
        <v>34.552</v>
      </c>
      <c r="AR107" s="167">
        <f>+ROUNDDOWN(AQ107,2)</f>
        <v>34.549999999999997</v>
      </c>
      <c r="AS107" s="166">
        <f>+AS$105*AM107</f>
        <v>69.103999999999999</v>
      </c>
      <c r="AT107" s="167">
        <f>ROUNDDOWN(AS107,2)</f>
        <v>69.099999999999994</v>
      </c>
      <c r="AU107" s="168">
        <f>+AU$105*AM107</f>
        <v>34.552</v>
      </c>
      <c r="AV107" s="169">
        <f>ROUNDDOWN(AU107,2)</f>
        <v>34.549999999999997</v>
      </c>
      <c r="AW107" s="168">
        <f>+AW$105*AM107</f>
        <v>69.103999999999999</v>
      </c>
      <c r="AX107" s="169">
        <f>ROUNDDOWN(AW107,2)</f>
        <v>69.099999999999994</v>
      </c>
      <c r="AY107" s="170">
        <f>+AY105*AM107</f>
        <v>86.38</v>
      </c>
      <c r="AZ107" s="171">
        <f>ROUNDDOWN(AY107,2)</f>
        <v>86.38</v>
      </c>
      <c r="BA107" s="6"/>
      <c r="BB107" s="6"/>
      <c r="BC107" s="6"/>
      <c r="BD107" s="6"/>
      <c r="BE107" s="6"/>
      <c r="BG107" s="6"/>
      <c r="BH107" s="6"/>
      <c r="BI107" s="6"/>
      <c r="BJ107" s="6"/>
    </row>
    <row r="108" spans="33:62" ht="51" hidden="1" x14ac:dyDescent="0.2">
      <c r="AJ108" s="159" t="s">
        <v>160</v>
      </c>
      <c r="AK108" s="160">
        <v>0.8</v>
      </c>
      <c r="AL108" s="161">
        <f>+(AC10*AK108)+AC10</f>
        <v>155.48400000000001</v>
      </c>
      <c r="AM108" s="162">
        <f>ROUNDDOWN(AL108,2)</f>
        <v>155.47999999999999</v>
      </c>
      <c r="AN108" s="172">
        <v>2</v>
      </c>
      <c r="AO108" s="164" t="s">
        <v>160</v>
      </c>
      <c r="AP108" s="165">
        <f>+AM108</f>
        <v>155.47999999999999</v>
      </c>
      <c r="AQ108" s="166">
        <f>+AQ105*AM108</f>
        <v>31.096</v>
      </c>
      <c r="AR108" s="167">
        <f>+ROUNDDOWN(AQ108,2)</f>
        <v>31.09</v>
      </c>
      <c r="AS108" s="166">
        <f>+AS$105*AM108</f>
        <v>62.192</v>
      </c>
      <c r="AT108" s="167">
        <f>ROUNDDOWN(AS108,2)</f>
        <v>62.19</v>
      </c>
      <c r="AU108" s="168">
        <f>+AU$105*AM108</f>
        <v>31.096</v>
      </c>
      <c r="AV108" s="169">
        <f>ROUNDDOWN(AU108,2)</f>
        <v>31.09</v>
      </c>
      <c r="AW108" s="168">
        <f>+AW$105*AM108</f>
        <v>62.192</v>
      </c>
      <c r="AX108" s="169">
        <f>ROUNDDOWN(AW108,2)</f>
        <v>62.19</v>
      </c>
      <c r="AY108" s="170">
        <f>+AY105*AM108</f>
        <v>77.739999999999995</v>
      </c>
      <c r="AZ108" s="171">
        <f>ROUNDDOWN(AY108,2)</f>
        <v>77.739999999999995</v>
      </c>
      <c r="BA108" s="6"/>
      <c r="BB108" s="6"/>
      <c r="BC108" s="6"/>
      <c r="BD108" s="6"/>
      <c r="BE108" s="6"/>
      <c r="BG108" s="6"/>
      <c r="BH108" s="6"/>
      <c r="BI108" s="6"/>
      <c r="BJ108" s="6"/>
    </row>
    <row r="109" spans="33:62" ht="30" hidden="1" customHeight="1" x14ac:dyDescent="0.2">
      <c r="AJ109" s="159" t="s">
        <v>66</v>
      </c>
      <c r="AK109" s="160">
        <v>0.7</v>
      </c>
      <c r="AL109" s="161">
        <f>+(AC10*AK109)+AC10</f>
        <v>146.846</v>
      </c>
      <c r="AM109" s="162">
        <f>ROUNDDOWN(AL109,2)</f>
        <v>146.84</v>
      </c>
      <c r="AN109" s="163">
        <v>3</v>
      </c>
      <c r="AO109" s="164" t="s">
        <v>66</v>
      </c>
      <c r="AP109" s="165">
        <f>+AM109</f>
        <v>146.84</v>
      </c>
      <c r="AQ109" s="166">
        <f>+AQ105*AM109</f>
        <v>29.367999999999999</v>
      </c>
      <c r="AR109" s="167">
        <f>+ROUNDDOWN(AQ109,2)</f>
        <v>29.36</v>
      </c>
      <c r="AS109" s="166">
        <f>+AS$105*AM109</f>
        <v>58.735999999999997</v>
      </c>
      <c r="AT109" s="167">
        <f>ROUNDDOWN(AS109,2)</f>
        <v>58.73</v>
      </c>
      <c r="AU109" s="168">
        <f>+AU$105*AM109</f>
        <v>29.367999999999999</v>
      </c>
      <c r="AV109" s="169">
        <f>ROUNDDOWN(AU109,2)</f>
        <v>29.36</v>
      </c>
      <c r="AW109" s="168">
        <f>+AW$105*AM109</f>
        <v>58.735999999999997</v>
      </c>
      <c r="AX109" s="169">
        <f>ROUNDDOWN(AW109,2)</f>
        <v>58.73</v>
      </c>
      <c r="AY109" s="170">
        <f>+AY105*AM109</f>
        <v>73.42</v>
      </c>
      <c r="AZ109" s="171">
        <f>ROUNDDOWN(AY109,2)</f>
        <v>73.42</v>
      </c>
      <c r="BA109" s="6"/>
      <c r="BB109" s="6"/>
      <c r="BC109" s="6"/>
      <c r="BD109" s="6"/>
      <c r="BE109" s="6"/>
      <c r="BG109" s="6"/>
      <c r="BH109" s="6"/>
      <c r="BI109" s="6"/>
      <c r="BJ109" s="6"/>
    </row>
    <row r="110" spans="33:62" ht="30" hidden="1" customHeight="1" x14ac:dyDescent="0.2">
      <c r="AJ110" s="173" t="s">
        <v>161</v>
      </c>
      <c r="AK110" s="174">
        <v>0.5</v>
      </c>
      <c r="AL110" s="175">
        <f>+(AC10*AK110)+AC10</f>
        <v>129.57</v>
      </c>
      <c r="AM110" s="176">
        <f>ROUNDDOWN(AL110,2)</f>
        <v>129.57</v>
      </c>
      <c r="AN110" s="177">
        <v>4</v>
      </c>
      <c r="AO110" s="164" t="s">
        <v>161</v>
      </c>
      <c r="AP110" s="178">
        <f>+AM110</f>
        <v>129.57</v>
      </c>
      <c r="AQ110" s="179">
        <f>+AQ105*AM110</f>
        <v>25.914000000000001</v>
      </c>
      <c r="AR110" s="167">
        <f>+ROUNDDOWN(AQ110,2)</f>
        <v>25.91</v>
      </c>
      <c r="AS110" s="166">
        <f>+AS$105*AM110</f>
        <v>51.828000000000003</v>
      </c>
      <c r="AT110" s="167">
        <f>ROUNDDOWN(AS110,2)</f>
        <v>51.82</v>
      </c>
      <c r="AU110" s="168">
        <f>+AU$105*AM110</f>
        <v>25.914000000000001</v>
      </c>
      <c r="AV110" s="169">
        <f>ROUNDDOWN(AU110,2)</f>
        <v>25.91</v>
      </c>
      <c r="AW110" s="168">
        <f>+AW$105*AM110</f>
        <v>51.828000000000003</v>
      </c>
      <c r="AX110" s="169">
        <f>ROUNDDOWN(AW110,2)</f>
        <v>51.82</v>
      </c>
      <c r="AY110" s="180">
        <f>+AY105*AM110</f>
        <v>64.784999999999997</v>
      </c>
      <c r="AZ110" s="171">
        <f>ROUNDDOWN(AY110,2)</f>
        <v>64.78</v>
      </c>
      <c r="BA110" s="6"/>
      <c r="BB110" s="6"/>
      <c r="BC110" s="6"/>
      <c r="BD110" s="6"/>
      <c r="BE110" s="6"/>
      <c r="BG110" s="6"/>
      <c r="BH110" s="6"/>
      <c r="BI110" s="6"/>
      <c r="BJ110" s="6"/>
    </row>
    <row r="111" spans="33:62" ht="30" hidden="1" customHeight="1" x14ac:dyDescent="0.2">
      <c r="AJ111" s="173" t="s">
        <v>73</v>
      </c>
      <c r="AK111" s="174">
        <v>0</v>
      </c>
      <c r="AL111" s="175">
        <f>+AC10</f>
        <v>86.38</v>
      </c>
      <c r="AM111" s="176">
        <f>ROUNDDOWN(AL111,2)</f>
        <v>86.38</v>
      </c>
      <c r="AN111" s="177">
        <v>5</v>
      </c>
      <c r="AO111" s="164" t="s">
        <v>73</v>
      </c>
      <c r="AP111" s="178">
        <f>+AM111</f>
        <v>86.38</v>
      </c>
      <c r="AQ111" s="179">
        <f>+AQ105*AM111</f>
        <v>17.276</v>
      </c>
      <c r="AR111" s="167">
        <f>+ROUNDDOWN(AQ111,2)</f>
        <v>17.27</v>
      </c>
      <c r="AS111" s="166">
        <f>+AS$105*AM111</f>
        <v>34.552</v>
      </c>
      <c r="AT111" s="167">
        <f>ROUNDDOWN(AS111,2)</f>
        <v>34.549999999999997</v>
      </c>
      <c r="AU111" s="168">
        <f>+AU$105*AM111</f>
        <v>17.276</v>
      </c>
      <c r="AV111" s="169">
        <f>ROUNDDOWN(AU111,2)</f>
        <v>17.27</v>
      </c>
      <c r="AW111" s="168">
        <f>+AW$105*AM111</f>
        <v>34.552</v>
      </c>
      <c r="AX111" s="169">
        <f>ROUNDDOWN(AW111,2)</f>
        <v>34.549999999999997</v>
      </c>
      <c r="AY111" s="180">
        <f>+AY105*AM111</f>
        <v>43.19</v>
      </c>
      <c r="AZ111" s="171">
        <f>ROUNDDOWN(AY111,2)</f>
        <v>43.19</v>
      </c>
      <c r="BA111" s="6"/>
      <c r="BB111" s="6"/>
      <c r="BC111" s="6"/>
      <c r="BD111" s="6"/>
      <c r="BE111" s="6"/>
      <c r="BG111" s="6"/>
      <c r="BH111" s="6"/>
      <c r="BI111" s="6"/>
      <c r="BJ111" s="6"/>
    </row>
    <row r="112" spans="33:62" ht="15.75" hidden="1" x14ac:dyDescent="0.25">
      <c r="AN112" s="181"/>
      <c r="AO112" s="181"/>
      <c r="AP112" s="181"/>
      <c r="AQ112" s="181"/>
      <c r="AR112" s="181"/>
      <c r="AS112" s="181"/>
      <c r="AT112" s="181"/>
      <c r="AU112" s="181"/>
      <c r="AV112" s="181"/>
      <c r="AW112" s="181"/>
      <c r="AX112" s="181"/>
      <c r="AY112" s="181"/>
      <c r="AZ112" s="181"/>
    </row>
    <row r="113" hidden="1" x14ac:dyDescent="0.2"/>
    <row r="114" hidden="1" x14ac:dyDescent="0.2"/>
    <row r="115" hidden="1" x14ac:dyDescent="0.2"/>
    <row r="116" hidden="1" x14ac:dyDescent="0.2"/>
    <row r="117" hidden="1" x14ac:dyDescent="0.2"/>
    <row r="118" hidden="1" x14ac:dyDescent="0.2"/>
    <row r="119" hidden="1" x14ac:dyDescent="0.2"/>
    <row r="120" hidden="1" x14ac:dyDescent="0.2"/>
    <row r="121" hidden="1" x14ac:dyDescent="0.2"/>
    <row r="122" hidden="1" x14ac:dyDescent="0.2"/>
    <row r="123" hidden="1" x14ac:dyDescent="0.2"/>
    <row r="124" hidden="1" x14ac:dyDescent="0.2"/>
    <row r="125" hidden="1" x14ac:dyDescent="0.2"/>
    <row r="126" hidden="1" x14ac:dyDescent="0.2"/>
    <row r="127" hidden="1" x14ac:dyDescent="0.2"/>
    <row r="128" hidden="1" x14ac:dyDescent="0.2"/>
    <row r="129" hidden="1" x14ac:dyDescent="0.2"/>
    <row r="130" hidden="1" x14ac:dyDescent="0.2"/>
    <row r="131" hidden="1" x14ac:dyDescent="0.2"/>
    <row r="132" hidden="1" x14ac:dyDescent="0.2"/>
    <row r="133" hidden="1" x14ac:dyDescent="0.2"/>
    <row r="134" hidden="1" x14ac:dyDescent="0.2"/>
    <row r="135" hidden="1" x14ac:dyDescent="0.2"/>
    <row r="136" hidden="1" x14ac:dyDescent="0.2"/>
    <row r="137" hidden="1" x14ac:dyDescent="0.2"/>
    <row r="138" hidden="1" x14ac:dyDescent="0.2"/>
    <row r="139" hidden="1" x14ac:dyDescent="0.2"/>
    <row r="140" hidden="1" x14ac:dyDescent="0.2"/>
    <row r="141" hidden="1" x14ac:dyDescent="0.2"/>
    <row r="142" hidden="1" x14ac:dyDescent="0.2"/>
    <row r="143" hidden="1" x14ac:dyDescent="0.2"/>
    <row r="144" hidden="1" x14ac:dyDescent="0.2"/>
    <row r="145" hidden="1" x14ac:dyDescent="0.2"/>
    <row r="146" hidden="1" x14ac:dyDescent="0.2"/>
    <row r="147" hidden="1" x14ac:dyDescent="0.2"/>
    <row r="148" hidden="1" x14ac:dyDescent="0.2"/>
    <row r="149" hidden="1" x14ac:dyDescent="0.2"/>
    <row r="150" hidden="1" x14ac:dyDescent="0.2"/>
    <row r="151" hidden="1" x14ac:dyDescent="0.2"/>
    <row r="152" hidden="1" x14ac:dyDescent="0.2"/>
  </sheetData>
  <customSheetViews>
    <customSheetView guid="{FF834EEA-98EE-4D52-930D-AE89D7F4F75B}" colorId="8" showGridLines="0" zeroValues="0" hiddenRows="1" hiddenColumns="1" topLeftCell="A7">
      <selection activeCell="BE46" sqref="BE46"/>
      <pageMargins left="0.78749999999999998" right="0.39374999999999999" top="0.6694444444444444" bottom="0.39374999999999999" header="0.51180555555555551" footer="0.51180555555555551"/>
      <printOptions horizontalCentered="1"/>
      <pageSetup paperSize="9" scale="80" firstPageNumber="0" orientation="landscape" horizontalDpi="300" verticalDpi="300"/>
      <headerFooter alignWithMargins="0"/>
    </customSheetView>
    <customSheetView guid="{21947858-9CF7-CF4C-8635-4940C68DA20F}" showRuler="0">
      <pageMargins left="0.78740157499999996" right="0.78740157499999996" top="0.984251969" bottom="0.984251969" header="0.4921259845" footer="0.4921259845"/>
    </customSheetView>
  </customSheetViews>
  <mergeCells count="179">
    <mergeCell ref="AD49:AD51"/>
    <mergeCell ref="AY104:AZ104"/>
    <mergeCell ref="AE49:AE51"/>
    <mergeCell ref="B51:E51"/>
    <mergeCell ref="F51:H51"/>
    <mergeCell ref="I51:Q51"/>
    <mergeCell ref="AQ104:AT104"/>
    <mergeCell ref="AU104:AX104"/>
    <mergeCell ref="S49:S51"/>
    <mergeCell ref="T49:W51"/>
    <mergeCell ref="X49:Y51"/>
    <mergeCell ref="Z49:AA51"/>
    <mergeCell ref="AB49:AB51"/>
    <mergeCell ref="AC49:AC51"/>
    <mergeCell ref="Z46:AA48"/>
    <mergeCell ref="AB46:AB48"/>
    <mergeCell ref="AC46:AC48"/>
    <mergeCell ref="AD46:AD48"/>
    <mergeCell ref="AE46:AE48"/>
    <mergeCell ref="K48:M48"/>
    <mergeCell ref="AB43:AB45"/>
    <mergeCell ref="AC43:AC45"/>
    <mergeCell ref="AD43:AD45"/>
    <mergeCell ref="AE43:AE45"/>
    <mergeCell ref="Z43:AA45"/>
    <mergeCell ref="C45:E45"/>
    <mergeCell ref="F46:H46"/>
    <mergeCell ref="I46:L46"/>
    <mergeCell ref="S46:S48"/>
    <mergeCell ref="T46:W48"/>
    <mergeCell ref="X46:Y48"/>
    <mergeCell ref="M41:Q41"/>
    <mergeCell ref="I42:Q44"/>
    <mergeCell ref="S43:S45"/>
    <mergeCell ref="T43:W45"/>
    <mergeCell ref="X43:Y45"/>
    <mergeCell ref="Z35:AB35"/>
    <mergeCell ref="AC35:AD35"/>
    <mergeCell ref="AD37:AD39"/>
    <mergeCell ref="AE37:AE39"/>
    <mergeCell ref="S40:S42"/>
    <mergeCell ref="T40:W42"/>
    <mergeCell ref="X40:Y42"/>
    <mergeCell ref="Z40:AA42"/>
    <mergeCell ref="AB40:AB42"/>
    <mergeCell ref="AC40:AC42"/>
    <mergeCell ref="AD40:AD42"/>
    <mergeCell ref="AE40:AE42"/>
    <mergeCell ref="B34:Q38"/>
    <mergeCell ref="B29:T31"/>
    <mergeCell ref="U29:AD29"/>
    <mergeCell ref="U30:AD30"/>
    <mergeCell ref="U31:AD31"/>
    <mergeCell ref="B33:Q33"/>
    <mergeCell ref="S33:AE34"/>
    <mergeCell ref="B28:G28"/>
    <mergeCell ref="H28:I28"/>
    <mergeCell ref="J28:L28"/>
    <mergeCell ref="M28:S28"/>
    <mergeCell ref="T28:Z28"/>
    <mergeCell ref="AA28:AD28"/>
    <mergeCell ref="AE35:AE36"/>
    <mergeCell ref="Z36:AA36"/>
    <mergeCell ref="S37:S39"/>
    <mergeCell ref="T37:W39"/>
    <mergeCell ref="X37:Y39"/>
    <mergeCell ref="Z37:AA39"/>
    <mergeCell ref="AB37:AB39"/>
    <mergeCell ref="AC37:AC39"/>
    <mergeCell ref="S35:S36"/>
    <mergeCell ref="T35:W36"/>
    <mergeCell ref="X35:Y36"/>
    <mergeCell ref="B27:E27"/>
    <mergeCell ref="G27:I27"/>
    <mergeCell ref="M27:O27"/>
    <mergeCell ref="U27:V27"/>
    <mergeCell ref="X27:Y27"/>
    <mergeCell ref="AA27:AB27"/>
    <mergeCell ref="B26:E26"/>
    <mergeCell ref="G26:I26"/>
    <mergeCell ref="M26:O26"/>
    <mergeCell ref="U26:V26"/>
    <mergeCell ref="X26:Y26"/>
    <mergeCell ref="AA26:AB26"/>
    <mergeCell ref="B25:E25"/>
    <mergeCell ref="G25:I25"/>
    <mergeCell ref="M25:O25"/>
    <mergeCell ref="U25:V25"/>
    <mergeCell ref="X25:Y25"/>
    <mergeCell ref="AA25:AB25"/>
    <mergeCell ref="B24:E24"/>
    <mergeCell ref="G24:I24"/>
    <mergeCell ref="M24:O24"/>
    <mergeCell ref="U24:V24"/>
    <mergeCell ref="X24:Y24"/>
    <mergeCell ref="AA24:AB24"/>
    <mergeCell ref="B23:E23"/>
    <mergeCell ref="G23:I23"/>
    <mergeCell ref="M23:O23"/>
    <mergeCell ref="U23:V23"/>
    <mergeCell ref="X23:Y23"/>
    <mergeCell ref="AA23:AB23"/>
    <mergeCell ref="B22:E22"/>
    <mergeCell ref="G22:I22"/>
    <mergeCell ref="M22:O22"/>
    <mergeCell ref="U22:V22"/>
    <mergeCell ref="X22:Y22"/>
    <mergeCell ref="AA22:AB22"/>
    <mergeCell ref="B21:E21"/>
    <mergeCell ref="G21:I21"/>
    <mergeCell ref="M21:O21"/>
    <mergeCell ref="U21:V21"/>
    <mergeCell ref="X21:Y21"/>
    <mergeCell ref="AA21:AB21"/>
    <mergeCell ref="B20:E20"/>
    <mergeCell ref="G20:I20"/>
    <mergeCell ref="M20:O20"/>
    <mergeCell ref="U20:V20"/>
    <mergeCell ref="X20:Y20"/>
    <mergeCell ref="AA20:AB20"/>
    <mergeCell ref="B19:E19"/>
    <mergeCell ref="G19:I19"/>
    <mergeCell ref="M19:O19"/>
    <mergeCell ref="U19:V19"/>
    <mergeCell ref="X19:Y19"/>
    <mergeCell ref="AA19:AB19"/>
    <mergeCell ref="B18:E18"/>
    <mergeCell ref="G18:I18"/>
    <mergeCell ref="M18:O18"/>
    <mergeCell ref="U18:V18"/>
    <mergeCell ref="X18:Y18"/>
    <mergeCell ref="AA18:AB18"/>
    <mergeCell ref="B17:E17"/>
    <mergeCell ref="G17:I17"/>
    <mergeCell ref="M17:O17"/>
    <mergeCell ref="U17:V17"/>
    <mergeCell ref="X17:Y17"/>
    <mergeCell ref="AA17:AB17"/>
    <mergeCell ref="M15:O15"/>
    <mergeCell ref="U15:V15"/>
    <mergeCell ref="X15:Y15"/>
    <mergeCell ref="AA15:AB15"/>
    <mergeCell ref="B16:E16"/>
    <mergeCell ref="G16:I16"/>
    <mergeCell ref="M16:O16"/>
    <mergeCell ref="U16:V16"/>
    <mergeCell ref="X16:Y16"/>
    <mergeCell ref="AA16:AB16"/>
    <mergeCell ref="B13:E15"/>
    <mergeCell ref="G13:I15"/>
    <mergeCell ref="J13:K14"/>
    <mergeCell ref="L13:O14"/>
    <mergeCell ref="AE13:AE15"/>
    <mergeCell ref="P14:P15"/>
    <mergeCell ref="Q14:Q15"/>
    <mergeCell ref="R14:V14"/>
    <mergeCell ref="W14:AB14"/>
    <mergeCell ref="AC14:AC15"/>
    <mergeCell ref="AD14:AD15"/>
    <mergeCell ref="V10:Y11"/>
    <mergeCell ref="Z10:Z11"/>
    <mergeCell ref="AA10:AB11"/>
    <mergeCell ref="AC10:AE11"/>
    <mergeCell ref="T11:U11"/>
    <mergeCell ref="P13:AD13"/>
    <mergeCell ref="S9:U9"/>
    <mergeCell ref="B10:D11"/>
    <mergeCell ref="E10:J11"/>
    <mergeCell ref="K10:M11"/>
    <mergeCell ref="N10:R11"/>
    <mergeCell ref="T10:U10"/>
    <mergeCell ref="F2:AD2"/>
    <mergeCell ref="F3:AD3"/>
    <mergeCell ref="F4:AD4"/>
    <mergeCell ref="F5:AD5"/>
    <mergeCell ref="B8:M8"/>
    <mergeCell ref="N8:S8"/>
    <mergeCell ref="T8:AB8"/>
    <mergeCell ref="AC8:AE8"/>
  </mergeCells>
  <dataValidations xWindow="485" yWindow="298" count="4">
    <dataValidation operator="equal" allowBlank="1" showErrorMessage="1" sqref="Z10:Z11" xr:uid="{F8C9630F-A1B7-421B-8FF4-12F9E1449621}">
      <formula1>0</formula1>
      <formula2>0</formula2>
    </dataValidation>
    <dataValidation allowBlank="1" showErrorMessage="1" errorTitle="Erro! Dia de chegada inválido!" error="O dia de chegada será sempre maior ou igual ao dia de saída." sqref="P16:X27 Z16:AD16 Y17:AD27" xr:uid="{E47B48D2-28DC-4693-A0F0-8F093DDD959F}">
      <formula1>0</formula1>
      <formula2>0</formula2>
    </dataValidation>
    <dataValidation type="time" allowBlank="1" showInputMessage="1" showErrorMessage="1" errorTitle="FORMATO DE HORA ERRADO" error="O FORMATO DA HORA DEVE SER 00:00_x000a_" prompt="A HORA DEVE SER DIGITADA NO FORMATO 00:00_x000a_" sqref="K16:K27 M16:O27" xr:uid="{FAE86953-B033-4B3D-8C02-42784F45D907}">
      <formula1>0</formula1>
      <formula2>0.999988425925926</formula2>
    </dataValidation>
    <dataValidation type="whole" allowBlank="1" showInputMessage="1" showErrorMessage="1" promptTitle="CÓDIGO DO DESLOCAMENTO" prompt="Informar o código do Local do Deslocamento conforme constante da Tabela de Valores das Diárias ABAIXO:_x000a_Exemplo:_x000a_1  -  D.F. / Manaus_x000a_2  -  São Paulo, etc._x000a_3  -  Demais Capitais_x000a_4  -  Munic. c/ +200.000 hab. e +70 km_x000a_5  -  Demais Deslocamentos" sqref="F16:F27" xr:uid="{14938A93-AB6D-4491-AC8D-1A65664F292B}">
      <formula1>1</formula1>
      <formula2>5</formula2>
    </dataValidation>
  </dataValidations>
  <printOptions horizontalCentered="1"/>
  <pageMargins left="0.59055118110236227" right="0.59055118110236227" top="0.59055118110236227" bottom="0.59055118110236227" header="0.31496062992125984" footer="0.31496062992125984"/>
  <pageSetup paperSize="9" scale="83" firstPageNumber="0" orientation="landscape" r:id="rId1"/>
  <headerFooter alignWithMargins="0"/>
  <ignoredErrors>
    <ignoredError sqref="AC10" unlockedFormula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A7BAB-EB2C-44CC-B924-1451EC8B3CDE}">
  <dimension ref="A8:AC45"/>
  <sheetViews>
    <sheetView showZeros="0" tabSelected="1" defaultGridColor="0" colorId="8" workbookViewId="0">
      <selection activeCell="F21" sqref="F21"/>
    </sheetView>
  </sheetViews>
  <sheetFormatPr defaultRowHeight="12.75" x14ac:dyDescent="0.2"/>
  <cols>
    <col min="1" max="16384" width="9.140625" style="183"/>
  </cols>
  <sheetData>
    <row r="8" spans="1:29" x14ac:dyDescent="0.2">
      <c r="AC8" s="185"/>
    </row>
    <row r="10" spans="1:29" ht="12.75" customHeight="1" x14ac:dyDescent="0.2"/>
    <row r="15" spans="1:29" ht="15.75" x14ac:dyDescent="0.2">
      <c r="A15" s="271" t="s">
        <v>162</v>
      </c>
      <c r="B15" s="271"/>
      <c r="C15" s="271"/>
      <c r="D15" s="271"/>
      <c r="E15" s="271"/>
      <c r="F15" s="271"/>
      <c r="G15" s="271"/>
      <c r="H15" s="271"/>
      <c r="I15" s="271"/>
      <c r="J15" s="271"/>
      <c r="K15" s="271"/>
      <c r="L15" s="271"/>
      <c r="M15" s="271"/>
      <c r="N15" s="271"/>
      <c r="O15" s="271"/>
    </row>
    <row r="16" spans="1:29" ht="15.75" x14ac:dyDescent="0.25">
      <c r="A16" s="272" t="s">
        <v>175</v>
      </c>
      <c r="B16" s="272"/>
      <c r="C16" s="272"/>
      <c r="D16" s="272"/>
      <c r="E16" s="272"/>
      <c r="F16" s="272"/>
      <c r="G16" s="272"/>
      <c r="H16" s="272"/>
      <c r="I16" s="272"/>
      <c r="J16" s="272"/>
      <c r="K16" s="272"/>
      <c r="L16" s="272"/>
      <c r="M16" s="272"/>
      <c r="N16" s="272"/>
      <c r="O16" s="272"/>
    </row>
    <row r="21" spans="5:8" x14ac:dyDescent="0.2">
      <c r="E21" s="183" t="s">
        <v>50</v>
      </c>
    </row>
    <row r="22" spans="5:8" x14ac:dyDescent="0.2">
      <c r="H22" s="184"/>
    </row>
    <row r="45" spans="3:3" x14ac:dyDescent="0.2">
      <c r="C45" s="185"/>
    </row>
  </sheetData>
  <sheetProtection selectLockedCells="1" selectUnlockedCells="1"/>
  <mergeCells count="2">
    <mergeCell ref="A15:O15"/>
    <mergeCell ref="A16:O16"/>
  </mergeCells>
  <pageMargins left="0.51" right="0.51" top="0.79" bottom="0.79" header="0.51" footer="0.51"/>
  <pageSetup paperSize="9" orientation="landscape" r:id="rId1"/>
  <headerFooter scaleWithDoc="0"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Planilhas</vt:lpstr>
      </vt:variant>
      <vt:variant>
        <vt:i4>2</vt:i4>
      </vt:variant>
      <vt:variant>
        <vt:lpstr>Gráficos</vt:lpstr>
      </vt:variant>
      <vt:variant>
        <vt:i4>1</vt:i4>
      </vt:variant>
      <vt:variant>
        <vt:lpstr>Intervalos Nomeados</vt:lpstr>
      </vt:variant>
      <vt:variant>
        <vt:i4>14</vt:i4>
      </vt:variant>
    </vt:vector>
  </HeadingPairs>
  <TitlesOfParts>
    <vt:vector size="17" baseType="lpstr">
      <vt:lpstr>Limite 50%</vt:lpstr>
      <vt:lpstr>Verso</vt:lpstr>
      <vt:lpstr>Gráfico1</vt:lpstr>
      <vt:lpstr>'Limite 50%'!Area_de_impressao</vt:lpstr>
      <vt:lpstr>'Limite 50%'!Excel_BuiltIn_Print_Area</vt:lpstr>
      <vt:lpstr>'Limite 50%'!Z_47E49439_FF69_4564_972A_86D34BE53FCD__wvu_Cols</vt:lpstr>
      <vt:lpstr>'Limite 50%'!Z_47E49439_FF69_4564_972A_86D34BE53FCD__wvu_PrintArea</vt:lpstr>
      <vt:lpstr>'Limite 50%'!Z_47E49439_FF69_4564_972A_86D34BE53FCD__wvu_Rows</vt:lpstr>
      <vt:lpstr>'Limite 50%'!Z_60A95524_6F7F_4AAF_BE0E_B2A97D2EB994__wvu_Cols</vt:lpstr>
      <vt:lpstr>'Limite 50%'!Z_60A95524_6F7F_4AAF_BE0E_B2A97D2EB994__wvu_PrintArea</vt:lpstr>
      <vt:lpstr>'Limite 50%'!Z_60A95524_6F7F_4AAF_BE0E_B2A97D2EB994__wvu_Rows</vt:lpstr>
      <vt:lpstr>'Limite 50%'!Z_CE42B809_C98F_4C7B_B1D3_3D8D5ACD4461__wvu_Cols</vt:lpstr>
      <vt:lpstr>'Limite 50%'!Z_CE42B809_C98F_4C7B_B1D3_3D8D5ACD4461__wvu_PrintArea</vt:lpstr>
      <vt:lpstr>'Limite 50%'!Z_CE42B809_C98F_4C7B_B1D3_3D8D5ACD4461__wvu_Rows</vt:lpstr>
      <vt:lpstr>'Limite 50%'!Z_DAAD9EB3_75C4_40B4_96D4_4212EA5B0BAF__wvu_Cols</vt:lpstr>
      <vt:lpstr>'Limite 50%'!Z_DAAD9EB3_75C4_40B4_96D4_4212EA5B0BAF__wvu_PrintArea</vt:lpstr>
      <vt:lpstr>'Limite 50%'!Z_DAAD9EB3_75C4_40B4_96D4_4212EA5B0BAF__wvu_Rows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policial</dc:creator>
  <cp:lastModifiedBy>Gustavo Almeida</cp:lastModifiedBy>
  <cp:lastPrinted>2026-04-13T17:54:05Z</cp:lastPrinted>
  <dcterms:created xsi:type="dcterms:W3CDTF">2021-02-01T19:48:48Z</dcterms:created>
  <dcterms:modified xsi:type="dcterms:W3CDTF">2026-10-13T12:36:42Z</dcterms:modified>
</cp:coreProperties>
</file>